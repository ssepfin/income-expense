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<sst xmlns="http://schemas.openxmlformats.org/spreadsheetml/2006/main" count="88" uniqueCount="44">
  <si>
    <t xml:space="preserve">COMMERCIAL INVOICE - INFAC TOTAL MAR 2026</t>
  </si>
  <si>
    <t xml:space="preserve">Shipper: SHINSUNG EP CO., LTD</t>
  </si>
  <si>
    <t xml:space="preserve">Consignee: CONG TY TNHH INFAC VINA CO., LTD.</t>
  </si>
  <si>
    <t xml:space="preserve">Invoice No: KR-INFAC2026-03 / MAR.31.2026</t>
  </si>
  <si>
    <t xml:space="preserve">Date</t>
  </si>
  <si>
    <t xml:space="preserve">No.</t>
  </si>
  <si>
    <t xml:space="preserve">Description</t>
  </si>
  <si>
    <t xml:space="preserve">Item Code</t>
  </si>
  <si>
    <t xml:space="preserve">Quantity</t>
  </si>
  <si>
    <t xml:space="preserve">Unit</t>
  </si>
  <si>
    <t xml:space="preserve">Currency</t>
  </si>
  <si>
    <t xml:space="preserve">Amount-US$</t>
  </si>
  <si>
    <r>
      <rPr>
        <b val="true"/>
        <sz val="10"/>
        <color rgb="FFFFFFFF"/>
        <rFont val="DejaVu Sans"/>
        <family val="2"/>
      </rPr>
      <t xml:space="preserve">환율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매매기준율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</si>
  <si>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Amount-KRW
(</t>
    </r>
    <r>
      <rPr>
        <b val="true"/>
        <sz val="10"/>
        <color rgb="FFFFFFFF"/>
        <rFont val="DejaVu Sans"/>
        <family val="2"/>
      </rPr>
      <t xml:space="preserve">원화환산액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</si>
  <si>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산출근거</t>
  </si>
  <si>
    <t xml:space="preserve">DATE</t>
  </si>
  <si>
    <t xml:space="preserve">20260302</t>
  </si>
  <si>
    <t xml:space="preserve">WIRE SUB ASSY</t>
  </si>
  <si>
    <t xml:space="preserve">FWA2019093 ETC</t>
  </si>
  <si>
    <t xml:space="preserve">PCS</t>
  </si>
  <si>
    <t xml:space="preserve">US$</t>
  </si>
  <si>
    <t xml:space="preserve">20260303</t>
  </si>
  <si>
    <t xml:space="preserve">AWA2020026-SX2 ETC</t>
  </si>
  <si>
    <t xml:space="preserve">20260304</t>
  </si>
  <si>
    <t xml:space="preserve">FWA2021052 ETC</t>
  </si>
  <si>
    <t xml:space="preserve">20260306</t>
  </si>
  <si>
    <t xml:space="preserve">FWA2022085 ETC</t>
  </si>
  <si>
    <t xml:space="preserve">20260309</t>
  </si>
  <si>
    <t xml:space="preserve">FWA2017005 ETC</t>
  </si>
  <si>
    <t xml:space="preserve">20260311</t>
  </si>
  <si>
    <t xml:space="preserve">FWA2022002 ETC</t>
  </si>
  <si>
    <t xml:space="preserve">20260313</t>
  </si>
  <si>
    <t xml:space="preserve">FWA2021054 ETC</t>
  </si>
  <si>
    <t xml:space="preserve">20260316</t>
  </si>
  <si>
    <t xml:space="preserve">PWA2025023 ETC</t>
  </si>
  <si>
    <t xml:space="preserve">20260318</t>
  </si>
  <si>
    <t xml:space="preserve">FWA2021050 ETC</t>
  </si>
  <si>
    <t xml:space="preserve">20260320</t>
  </si>
  <si>
    <t xml:space="preserve">FWA2022088 ETC</t>
  </si>
  <si>
    <t xml:space="preserve">20260323</t>
  </si>
  <si>
    <t xml:space="preserve">FWA2025003 ETC</t>
  </si>
  <si>
    <t xml:space="preserve">20260325</t>
  </si>
  <si>
    <t xml:space="preserve">FWA2021048 ETC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</si>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</sst>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34.5" hidden="false" customHeight="true" outlineLevel="0" collapsed="false">
      <c r="A7" s="3"/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/>
      <c r="K7" s="4" t="s">
        <v>12</v>
      </c>
      <c r="L7" s="3" t="s">
        <v>13</v>
      </c>
      <c r="M7" s="4" t="s">
        <v>14</v>
      </c>
    </row>
    <row r="8" customFormat="false" ht="15" hidden="false" customHeight="false" outlineLevel="0" collapsed="false">
      <c r="A8" s="5" t="s">
        <v>15</v>
      </c>
      <c r="B8" s="6" t="s">
        <v>16</v>
      </c>
      <c r="C8" s="5" t="n">
        <v>1</v>
      </c>
      <c r="D8" s="7" t="s">
        <v>17</v>
      </c>
      <c r="E8" s="7" t="s">
        <v>18</v>
      </c>
      <c r="F8" s="8" t="n">
        <v>223285</v>
      </c>
      <c r="G8" s="5" t="s">
        <v>19</v>
      </c>
      <c r="H8" s="5" t="s">
        <v>20</v>
      </c>
      <c r="I8" s="9" t="n">
        <v>14516.48</v>
      </c>
      <c r="J8" s="7"/>
      <c r="K8" s="9" t="n">
        <v>1424.5</v>
      </c>
      <c r="L8" s="8" t="n">
        <f aca="false">INT(I8*K8)</f>
        <v>20678725</v>
      </c>
      <c r="M8" s="10" t="str">
        <f aca="false">"$"&amp;TEXT(I8,"#,##0.00")&amp;"*"&amp;TEXT(K8,"#,##0.0#")&amp;"원"</f>
        <v>$14,516.48*1,424.5원</v>
      </c>
    </row>
    <row r="9" customFormat="false" ht="15" hidden="false" customHeight="false" outlineLevel="0" collapsed="false">
      <c r="A9" s="11" t="s">
        <v>15</v>
      </c>
      <c r="B9" s="12" t="s">
        <v>21</v>
      </c>
      <c r="C9" s="11" t="n">
        <v>2</v>
      </c>
      <c r="D9" s="13" t="s">
        <v>17</v>
      </c>
      <c r="E9" s="13" t="s">
        <v>22</v>
      </c>
      <c r="F9" s="14" t="n">
        <v>8000</v>
      </c>
      <c r="G9" s="11" t="s">
        <v>19</v>
      </c>
      <c r="H9" s="11" t="s">
        <v>20</v>
      </c>
      <c r="I9" s="15" t="n">
        <v>2364.8</v>
      </c>
      <c r="J9" s="13"/>
      <c r="K9" s="15" t="n">
        <v>1435.4</v>
      </c>
      <c r="L9" s="14" t="n">
        <f aca="false">INT(I9*K9)</f>
        <v>3394433</v>
      </c>
      <c r="M9" s="16" t="str">
        <f aca="false">"$"&amp;TEXT(I9,"#,##0.00")&amp;"*"&amp;TEXT(K9,"#,##0.0#")&amp;"원"</f>
        <v>$2,364.80*1,435.4원</v>
      </c>
    </row>
    <row r="10" customFormat="false" ht="15" hidden="false" customHeight="false" outlineLevel="0" collapsed="false">
      <c r="A10" s="5" t="s">
        <v>15</v>
      </c>
      <c r="B10" s="6" t="s">
        <v>23</v>
      </c>
      <c r="C10" s="5" t="n">
        <v>3</v>
      </c>
      <c r="D10" s="7" t="s">
        <v>17</v>
      </c>
      <c r="E10" s="7" t="s">
        <v>24</v>
      </c>
      <c r="F10" s="8" t="n">
        <v>121041</v>
      </c>
      <c r="G10" s="5" t="s">
        <v>19</v>
      </c>
      <c r="H10" s="5" t="s">
        <v>20</v>
      </c>
      <c r="I10" s="9" t="n">
        <v>9693.29</v>
      </c>
      <c r="J10" s="7"/>
      <c r="K10" s="9" t="n">
        <v>1464.5</v>
      </c>
      <c r="L10" s="8" t="n">
        <f aca="false">INT(I10*K10)</f>
        <v>14195823</v>
      </c>
      <c r="M10" s="10" t="str">
        <f aca="false">"$"&amp;TEXT(I10,"#,##0.00")&amp;"*"&amp;TEXT(K10,"#,##0.0#")&amp;"원"</f>
        <v>$9,693.29*1,464.5원</v>
      </c>
    </row>
    <row r="11" customFormat="false" ht="15" hidden="false" customHeight="false" outlineLevel="0" collapsed="false">
      <c r="A11" s="11" t="s">
        <v>15</v>
      </c>
      <c r="B11" s="12" t="s">
        <v>25</v>
      </c>
      <c r="C11" s="11" t="n">
        <v>4</v>
      </c>
      <c r="D11" s="13" t="s">
        <v>17</v>
      </c>
      <c r="E11" s="13" t="s">
        <v>26</v>
      </c>
      <c r="F11" s="14" t="n">
        <v>84732</v>
      </c>
      <c r="G11" s="11" t="s">
        <v>19</v>
      </c>
      <c r="H11" s="11" t="s">
        <v>20</v>
      </c>
      <c r="I11" s="15" t="n">
        <v>7552.43</v>
      </c>
      <c r="J11" s="13"/>
      <c r="K11" s="15" t="n">
        <v>1464.3</v>
      </c>
      <c r="L11" s="14" t="n">
        <f aca="false">INT(I11*K11)</f>
        <v>11059023</v>
      </c>
      <c r="M11" s="16" t="str">
        <f aca="false">"$"&amp;TEXT(I11,"#,##0.00")&amp;"*"&amp;TEXT(K11,"#,##0.0#")&amp;"원"</f>
        <v>$7,552.43*1,464.3원</v>
      </c>
    </row>
    <row r="12" customFormat="false" ht="15" hidden="false" customHeight="false" outlineLevel="0" collapsed="false">
      <c r="A12" s="5" t="s">
        <v>15</v>
      </c>
      <c r="B12" s="6" t="s">
        <v>27</v>
      </c>
      <c r="C12" s="5" t="n">
        <v>5</v>
      </c>
      <c r="D12" s="7" t="s">
        <v>17</v>
      </c>
      <c r="E12" s="7" t="s">
        <v>28</v>
      </c>
      <c r="F12" s="8" t="n">
        <v>104790</v>
      </c>
      <c r="G12" s="5" t="s">
        <v>19</v>
      </c>
      <c r="H12" s="5" t="s">
        <v>20</v>
      </c>
      <c r="I12" s="9" t="n">
        <v>8893.5</v>
      </c>
      <c r="J12" s="7"/>
      <c r="K12" s="9" t="n">
        <v>1474.5</v>
      </c>
      <c r="L12" s="8" t="n">
        <f aca="false">INT(I12*K12)</f>
        <v>13113465</v>
      </c>
      <c r="M12" s="10" t="str">
        <f aca="false">"$"&amp;TEXT(I12,"#,##0.00")&amp;"*"&amp;TEXT(K12,"#,##0.0#")&amp;"원"</f>
        <v>$8,893.50*1,474.5원</v>
      </c>
    </row>
    <row r="13" customFormat="false" ht="15" hidden="false" customHeight="false" outlineLevel="0" collapsed="false">
      <c r="A13" s="11" t="s">
        <v>15</v>
      </c>
      <c r="B13" s="12" t="s">
        <v>29</v>
      </c>
      <c r="C13" s="11" t="n">
        <v>6</v>
      </c>
      <c r="D13" s="13" t="s">
        <v>17</v>
      </c>
      <c r="E13" s="13" t="s">
        <v>30</v>
      </c>
      <c r="F13" s="14" t="n">
        <v>94357</v>
      </c>
      <c r="G13" s="11" t="s">
        <v>19</v>
      </c>
      <c r="H13" s="11" t="s">
        <v>20</v>
      </c>
      <c r="I13" s="15" t="n">
        <v>7901.18</v>
      </c>
      <c r="J13" s="13"/>
      <c r="K13" s="15" t="n">
        <v>1472.8</v>
      </c>
      <c r="L13" s="14" t="n">
        <f aca="false">INT(I13*K13)</f>
        <v>11636857</v>
      </c>
      <c r="M13" s="16" t="str">
        <f aca="false">"$"&amp;TEXT(I13,"#,##0.00")&amp;"*"&amp;TEXT(K13,"#,##0.0#")&amp;"원"</f>
        <v>$7,901.18*1,472.8원</v>
      </c>
    </row>
    <row r="14" customFormat="false" ht="15" hidden="false" customHeight="false" outlineLevel="0" collapsed="false">
      <c r="A14" s="5" t="s">
        <v>15</v>
      </c>
      <c r="B14" s="6" t="s">
        <v>31</v>
      </c>
      <c r="C14" s="5" t="n">
        <v>7</v>
      </c>
      <c r="D14" s="7" t="s">
        <v>17</v>
      </c>
      <c r="E14" s="7" t="s">
        <v>32</v>
      </c>
      <c r="F14" s="8" t="n">
        <v>97018</v>
      </c>
      <c r="G14" s="5" t="s">
        <v>19</v>
      </c>
      <c r="H14" s="5" t="s">
        <v>20</v>
      </c>
      <c r="I14" s="9" t="n">
        <v>4939.11</v>
      </c>
      <c r="J14" s="7"/>
      <c r="K14" s="9" t="n">
        <v>1479.8</v>
      </c>
      <c r="L14" s="8" t="n">
        <f aca="false">INT(I14*K14)</f>
        <v>7308894</v>
      </c>
      <c r="M14" s="10" t="str">
        <f aca="false">"$"&amp;TEXT(I14,"#,##0.00")&amp;"*"&amp;TEXT(K14,"#,##0.0#")&amp;"원"</f>
        <v>$4,939.11*1,479.8원</v>
      </c>
    </row>
    <row r="15" customFormat="false" ht="15" hidden="false" customHeight="false" outlineLevel="0" collapsed="false">
      <c r="A15" s="11" t="s">
        <v>15</v>
      </c>
      <c r="B15" s="12" t="s">
        <v>33</v>
      </c>
      <c r="C15" s="11" t="n">
        <v>8</v>
      </c>
      <c r="D15" s="13" t="s">
        <v>17</v>
      </c>
      <c r="E15" s="13" t="s">
        <v>34</v>
      </c>
      <c r="F15" s="14" t="n">
        <v>143923</v>
      </c>
      <c r="G15" s="11" t="s">
        <v>19</v>
      </c>
      <c r="H15" s="11" t="s">
        <v>20</v>
      </c>
      <c r="I15" s="15" t="n">
        <v>9971.62</v>
      </c>
      <c r="J15" s="13"/>
      <c r="K15" s="15" t="n">
        <v>1489.5</v>
      </c>
      <c r="L15" s="14" t="n">
        <f aca="false">INT(I15*K15)</f>
        <v>14852727</v>
      </c>
      <c r="M15" s="16" t="str">
        <f aca="false">"$"&amp;TEXT(I15,"#,##0.00")&amp;"*"&amp;TEXT(K15,"#,##0.0#")&amp;"원"</f>
        <v>$9,971.62*1,489.5원</v>
      </c>
    </row>
    <row r="16" customFormat="false" ht="15" hidden="false" customHeight="false" outlineLevel="0" collapsed="false">
      <c r="A16" s="5" t="s">
        <v>15</v>
      </c>
      <c r="B16" s="6" t="s">
        <v>35</v>
      </c>
      <c r="C16" s="5" t="n">
        <v>9</v>
      </c>
      <c r="D16" s="7" t="s">
        <v>17</v>
      </c>
      <c r="E16" s="7" t="s">
        <v>36</v>
      </c>
      <c r="F16" s="8" t="n">
        <v>90722</v>
      </c>
      <c r="G16" s="5" t="s">
        <v>19</v>
      </c>
      <c r="H16" s="5" t="s">
        <v>20</v>
      </c>
      <c r="I16" s="9" t="n">
        <v>6048.19</v>
      </c>
      <c r="J16" s="7"/>
      <c r="K16" s="9" t="n">
        <v>1491.6</v>
      </c>
      <c r="L16" s="8" t="n">
        <f aca="false">INT(I16*K16)</f>
        <v>9021480</v>
      </c>
      <c r="M16" s="10" t="str">
        <f aca="false">"$"&amp;TEXT(I16,"#,##0.00")&amp;"*"&amp;TEXT(K16,"#,##0.0#")&amp;"원"</f>
        <v>$6,048.19*1,491.6원</v>
      </c>
    </row>
    <row r="17" customFormat="false" ht="15" hidden="false" customHeight="false" outlineLevel="0" collapsed="false">
      <c r="A17" s="11" t="s">
        <v>15</v>
      </c>
      <c r="B17" s="12" t="s">
        <v>37</v>
      </c>
      <c r="C17" s="11" t="n">
        <v>10</v>
      </c>
      <c r="D17" s="13" t="s">
        <v>17</v>
      </c>
      <c r="E17" s="13" t="s">
        <v>38</v>
      </c>
      <c r="F17" s="14" t="n">
        <v>140724</v>
      </c>
      <c r="G17" s="11" t="s">
        <v>19</v>
      </c>
      <c r="H17" s="11" t="s">
        <v>20</v>
      </c>
      <c r="I17" s="15" t="n">
        <v>7664.54</v>
      </c>
      <c r="J17" s="13"/>
      <c r="K17" s="15" t="n">
        <v>1499.7</v>
      </c>
      <c r="L17" s="14" t="n">
        <f aca="false">INT(I17*K17)</f>
        <v>11494510</v>
      </c>
      <c r="M17" s="16" t="str">
        <f aca="false">"$"&amp;TEXT(I17,"#,##0.00")&amp;"*"&amp;TEXT(K17,"#,##0.0#")&amp;"원"</f>
        <v>$7,664.54*1,499.7원</v>
      </c>
    </row>
    <row r="18" customFormat="false" ht="15" hidden="false" customHeight="false" outlineLevel="0" collapsed="false">
      <c r="A18" s="5" t="s">
        <v>15</v>
      </c>
      <c r="B18" s="6" t="s">
        <v>39</v>
      </c>
      <c r="C18" s="5" t="n">
        <v>11</v>
      </c>
      <c r="D18" s="7" t="s">
        <v>17</v>
      </c>
      <c r="E18" s="7" t="s">
        <v>40</v>
      </c>
      <c r="F18" s="8" t="n">
        <v>151678</v>
      </c>
      <c r="G18" s="5" t="s">
        <v>19</v>
      </c>
      <c r="H18" s="5" t="s">
        <v>20</v>
      </c>
      <c r="I18" s="9" t="n">
        <v>8445.82</v>
      </c>
      <c r="J18" s="7"/>
      <c r="K18" s="9" t="n">
        <v>1494.9</v>
      </c>
      <c r="L18" s="8" t="n">
        <f aca="false">INT(I18*K18)</f>
        <v>12625656</v>
      </c>
      <c r="M18" s="10" t="str">
        <f aca="false">"$"&amp;TEXT(I18,"#,##0.00")&amp;"*"&amp;TEXT(K18,"#,##0.0#")&amp;"원"</f>
        <v>$8,445.82*1,494.9원</v>
      </c>
    </row>
    <row r="19" customFormat="false" ht="12.65" hidden="false" customHeight="false" outlineLevel="0" collapsed="false">
      <c r="A19" s="11" t="s">
        <v>15</v>
      </c>
      <c r="B19" s="12" t="s">
        <v>41</v>
      </c>
      <c r="C19" s="11" t="n">
        <v>12</v>
      </c>
      <c r="D19" s="13" t="s">
        <v>17</v>
      </c>
      <c r="E19" s="13" t="s">
        <v>42</v>
      </c>
      <c r="F19" s="14" t="n">
        <v>128268</v>
      </c>
      <c r="G19" s="11" t="s">
        <v>19</v>
      </c>
      <c r="H19" s="11" t="s">
        <v>20</v>
      </c>
      <c r="I19" s="15" t="n">
        <v>6902.39</v>
      </c>
      <c r="J19" s="13"/>
      <c r="K19" s="15" t="n">
        <v>1498.3</v>
      </c>
      <c r="L19" s="14" t="n">
        <f aca="false">INT(I19*K19)</f>
        <v>10341850</v>
      </c>
      <c r="M19" s="16" t="str">
        <f aca="false">"$"&amp;TEXT(I19,"#,##0.00")&amp;"*"&amp;TEXT(K19,"#,##0.0#")&amp;"원"</f>
        <v>$6,902.39*1,498.3원</v>
      </c>
    </row>
    <row r="20" customFormat="false" ht="15" hidden="false" customHeight="false" outlineLevel="0" collapsed="false">
      <c r="A20" s="17"/>
      <c r="B20" s="17"/>
      <c r="C20" s="17"/>
      <c r="D20" s="17"/>
      <c r="E20" s="18" t="s">
        <v>43</v>
      </c>
      <c r="F20" s="19" t="n">
        <f aca="false">SUM(F8:F19)</f>
        <v>1388538</v>
      </c>
      <c r="G20" s="17"/>
      <c r="H20" s="17"/>
      <c r="I20" s="20" t="n">
        <f aca="false">SUM(I8:I19)</f>
        <v>94893.35</v>
      </c>
      <c r="J20" s="17"/>
      <c r="K20" s="17"/>
      <c r="L20" s="19" t="n">
        <f aca="false">SUM(L8:L19)</f>
        <v>139723443</v>
      </c>
      <c r="M20" s="17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2026-04-08T00:31:44Z</dcterms:created>
  <dc:creator>openpyxl</dc:creator>
  <dc:description/>
  <dc:language>en-US</dc:language>
  <cp:lastModifiedBy/>
  <dcterms:modified xsi:type="dcterms:W3CDTF">2026-04-08T00:31:44Z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