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VOIC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<sst xmlns="http://schemas.openxmlformats.org/spreadsheetml/2006/main" count="130" uniqueCount="56">
  <si>
    <t xml:space="preserve">COMMERCIAL INVOICE - ESTEC TOTAL MAR 2026</t>
  </si>
  <si>
    <t xml:space="preserve">Shipper: SHINSUNG EP CO., LTD</t>
  </si>
  <si>
    <t xml:space="preserve">Consignee: ESTEC VINA CO., LTD</t>
  </si>
  <si>
    <t xml:space="preserve">Invoice No: KRES26-03 / MAR-31-2026</t>
  </si>
  <si>
    <t xml:space="preserve">Date</t>
  </si>
  <si>
    <t xml:space="preserve">No.</t>
  </si>
  <si>
    <t xml:space="preserve">Description</t>
  </si>
  <si>
    <t xml:space="preserve">Item Code</t>
  </si>
  <si>
    <t xml:space="preserve">Quantity</t>
  </si>
  <si>
    <t xml:space="preserve">Unit</t>
  </si>
  <si>
    <t xml:space="preserve">Currency</t>
  </si>
  <si>
    <t xml:space="preserve">Amount-US$</t>
  </si>
  <si>
    <r>
      <rPr>
        <b val="true"/>
        <sz val="10"/>
        <color rgb="FFFFFFFF"/>
        <rFont val="DejaVu Sans"/>
        <family val="2"/>
      </rPr>
      <t xml:space="preserve">환율
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DejaVu Sans"/>
        <family val="2"/>
      </rPr>
      <t xml:space="preserve">매매기준율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</si>
  <si>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Arial"/>
        <family val="0"/>
        <charset val="1"/>
      </rPr>
      <t xml:space="preserve">Amount-KRW
(</t>
    </r>
    <r>
      <rPr>
        <b val="true"/>
        <sz val="10"/>
        <color rgb="FFFFFFFF"/>
        <rFont val="DejaVu Sans"/>
        <family val="2"/>
      </rPr>
      <t xml:space="preserve">원화환산액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</si>
  <si>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산출근거</t>
  </si>
  <si>
    <t xml:space="preserve">20260302</t>
  </si>
  <si>
    <t xml:space="preserve">CORD</t>
  </si>
  <si>
    <t xml:space="preserve">C49-732742 ETC</t>
  </si>
  <si>
    <t xml:space="preserve">PCS</t>
  </si>
  <si>
    <t xml:space="preserve">US$</t>
  </si>
  <si>
    <t xml:space="preserve">20260303</t>
  </si>
  <si>
    <t xml:space="preserve">CG3-735410 ETC</t>
  </si>
  <si>
    <t xml:space="preserve">20260304</t>
  </si>
  <si>
    <t xml:space="preserve">CG3-778086 ETC</t>
  </si>
  <si>
    <t xml:space="preserve">20260305</t>
  </si>
  <si>
    <t xml:space="preserve">C49-756044 ETC</t>
  </si>
  <si>
    <t xml:space="preserve">20260306</t>
  </si>
  <si>
    <t xml:space="preserve">CG3-775711 ETC</t>
  </si>
  <si>
    <t xml:space="preserve">20260309</t>
  </si>
  <si>
    <t xml:space="preserve">CG3-791828 ETC</t>
  </si>
  <si>
    <t xml:space="preserve">20260310</t>
  </si>
  <si>
    <t xml:space="preserve">C50-792569 ETC</t>
  </si>
  <si>
    <t xml:space="preserve">20260311</t>
  </si>
  <si>
    <t xml:space="preserve">20260312</t>
  </si>
  <si>
    <t xml:space="preserve">C53-739927 ETC</t>
  </si>
  <si>
    <t xml:space="preserve">20260313</t>
  </si>
  <si>
    <t xml:space="preserve">C49-756042 ETC</t>
  </si>
  <si>
    <t xml:space="preserve">20260316</t>
  </si>
  <si>
    <t xml:space="preserve">CG3-750163 ETC</t>
  </si>
  <si>
    <t xml:space="preserve">20260317</t>
  </si>
  <si>
    <t xml:space="preserve">CG3-763652 ETC</t>
  </si>
  <si>
    <t xml:space="preserve">20260318</t>
  </si>
  <si>
    <t xml:space="preserve">CG3-763684 ETC</t>
  </si>
  <si>
    <t xml:space="preserve">20260319</t>
  </si>
  <si>
    <t xml:space="preserve">CG3-766416 ETC</t>
  </si>
  <si>
    <t xml:space="preserve">20260320</t>
  </si>
  <si>
    <t xml:space="preserve">C49-710426 ETC</t>
  </si>
  <si>
    <t xml:space="preserve">20260323</t>
  </si>
  <si>
    <t xml:space="preserve">CG3-761213 ETC</t>
  </si>
  <si>
    <t xml:space="preserve">20260324</t>
  </si>
  <si>
    <t xml:space="preserve">C49-785143 ETC</t>
  </si>
  <si>
    <t xml:space="preserve">20260325</t>
  </si>
  <si>
    <t xml:space="preserve">CG3-778085 ETC</t>
  </si>
  <si>
    <t xml:space="preserve">20260326</t>
  </si>
  <si>
    <t xml:space="preserve">C49-786738 ETC</t>
  </si>
  <si>
    <t xml:space="preserve">TOTAL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</si>
</sst>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#,##0"/>
    <numFmt numFmtId="167" formatCode="#,##0.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FFFFFF"/>
      <name val="DejaVu Sans"/>
      <family val="2"/>
    </font>
    <font>
      <sz val="10"/>
      <name val="Arial"/>
      <family val="0"/>
      <charset val="1"/>
    </font>
    <font>
      <b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D9E2F3"/>
        <bgColor rgb="FFCC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double"/>
      <bottom style="double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8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3" min="3" style="0" width="5"/>
    <col collapsed="false" customWidth="true" hidden="false" outlineLevel="0" max="4" min="4" style="0" width="8"/>
    <col collapsed="false" customWidth="true" hidden="false" outlineLevel="0" max="5" min="5" style="0" width="18"/>
    <col collapsed="false" customWidth="true" hidden="false" outlineLevel="0" max="6" min="6" style="0" width="10"/>
    <col collapsed="false" customWidth="true" hidden="false" outlineLevel="0" max="7" min="7" style="0" width="6"/>
    <col collapsed="false" customWidth="true" hidden="false" outlineLevel="0" max="8" min="8" style="0" width="7"/>
    <col collapsed="false" customWidth="true" hidden="false" outlineLevel="0" max="9" min="9" style="0" width="14"/>
    <col collapsed="false" customWidth="true" hidden="false" outlineLevel="0" max="10" min="10" style="0" width="3"/>
    <col collapsed="false" customWidth="true" hidden="false" outlineLevel="0" max="11" min="11" style="0" width="14"/>
    <col collapsed="false" customWidth="true" hidden="false" outlineLevel="0" max="12" min="12" style="0" width="18"/>
    <col collapsed="false" customWidth="true" hidden="false" outlineLevel="0" max="13" min="13" style="0" width="26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7" customFormat="false" ht="34.5" hidden="false" customHeight="true" outlineLevel="0" collapsed="false">
      <c r="A7" s="3"/>
      <c r="B7" s="3" t="s">
        <v>4</v>
      </c>
      <c r="C7" s="3" t="s">
        <v>5</v>
      </c>
      <c r="D7" s="3" t="s">
        <v>6</v>
      </c>
      <c r="E7" s="3" t="s">
        <v>7</v>
      </c>
      <c r="F7" s="3" t="s">
        <v>8</v>
      </c>
      <c r="G7" s="3" t="s">
        <v>9</v>
      </c>
      <c r="H7" s="3" t="s">
        <v>10</v>
      </c>
      <c r="I7" s="3" t="s">
        <v>11</v>
      </c>
      <c r="J7" s="3"/>
      <c r="K7" s="4" t="s">
        <v>12</v>
      </c>
      <c r="L7" s="3" t="s">
        <v>13</v>
      </c>
      <c r="M7" s="4" t="s">
        <v>14</v>
      </c>
    </row>
    <row r="8" customFormat="false" ht="15" hidden="false" customHeight="false" outlineLevel="0" collapsed="false">
      <c r="A8" s="5" t="s">
        <v>4</v>
      </c>
      <c r="B8" s="6" t="s">
        <v>15</v>
      </c>
      <c r="C8" s="5" t="n">
        <v>1</v>
      </c>
      <c r="D8" s="7" t="s">
        <v>16</v>
      </c>
      <c r="E8" s="7" t="s">
        <v>17</v>
      </c>
      <c r="F8" s="8" t="n">
        <v>62440</v>
      </c>
      <c r="G8" s="5" t="s">
        <v>18</v>
      </c>
      <c r="H8" s="5" t="s">
        <v>19</v>
      </c>
      <c r="I8" s="9" t="n">
        <v>16593.77</v>
      </c>
      <c r="J8" s="7"/>
      <c r="K8" s="9" t="n">
        <v>1424.5</v>
      </c>
      <c r="L8" s="8" t="n">
        <f aca="false">INT(I8*K8)</f>
        <v>23637825</v>
      </c>
      <c r="M8" s="10" t="str">
        <f aca="false">"$"&amp;TEXT(I8,"#,##0.00")&amp;"*"&amp;TEXT(K8,"#,##0.0#")&amp;"원"</f>
        <v>$16,593.77*1,424.5원</v>
      </c>
    </row>
    <row r="9" customFormat="false" ht="15" hidden="false" customHeight="false" outlineLevel="0" collapsed="false">
      <c r="A9" s="11" t="s">
        <v>4</v>
      </c>
      <c r="B9" s="12" t="s">
        <v>20</v>
      </c>
      <c r="C9" s="11" t="n">
        <v>2</v>
      </c>
      <c r="D9" s="13" t="s">
        <v>16</v>
      </c>
      <c r="E9" s="13" t="s">
        <v>21</v>
      </c>
      <c r="F9" s="14" t="n">
        <v>18686</v>
      </c>
      <c r="G9" s="11" t="s">
        <v>18</v>
      </c>
      <c r="H9" s="11" t="s">
        <v>19</v>
      </c>
      <c r="I9" s="15" t="n">
        <v>8929.02</v>
      </c>
      <c r="J9" s="13"/>
      <c r="K9" s="15" t="n">
        <v>1435.4</v>
      </c>
      <c r="L9" s="14" t="n">
        <f aca="false">INT(I9*K9)</f>
        <v>12816715</v>
      </c>
      <c r="M9" s="16" t="str">
        <f aca="false">"$"&amp;TEXT(I9,"#,##0.00")&amp;"*"&amp;TEXT(K9,"#,##0.0#")&amp;"원"</f>
        <v>$8,929.02*1,435.4원</v>
      </c>
    </row>
    <row r="10" customFormat="false" ht="15" hidden="false" customHeight="false" outlineLevel="0" collapsed="false">
      <c r="A10" s="5" t="s">
        <v>4</v>
      </c>
      <c r="B10" s="6" t="s">
        <v>22</v>
      </c>
      <c r="C10" s="5" t="n">
        <v>3</v>
      </c>
      <c r="D10" s="7" t="s">
        <v>16</v>
      </c>
      <c r="E10" s="7" t="s">
        <v>23</v>
      </c>
      <c r="F10" s="8" t="n">
        <v>19549</v>
      </c>
      <c r="G10" s="5" t="s">
        <v>18</v>
      </c>
      <c r="H10" s="5" t="s">
        <v>19</v>
      </c>
      <c r="I10" s="9" t="n">
        <v>6634.57</v>
      </c>
      <c r="J10" s="7"/>
      <c r="K10" s="9" t="n">
        <v>1464.5</v>
      </c>
      <c r="L10" s="8" t="n">
        <f aca="false">INT(I10*K10)</f>
        <v>9716327</v>
      </c>
      <c r="M10" s="10" t="str">
        <f aca="false">"$"&amp;TEXT(I10,"#,##0.00")&amp;"*"&amp;TEXT(K10,"#,##0.0#")&amp;"원"</f>
        <v>$6,634.57*1,464.5원</v>
      </c>
    </row>
    <row r="11" customFormat="false" ht="15" hidden="false" customHeight="false" outlineLevel="0" collapsed="false">
      <c r="A11" s="11" t="s">
        <v>4</v>
      </c>
      <c r="B11" s="12" t="s">
        <v>24</v>
      </c>
      <c r="C11" s="11" t="n">
        <v>4</v>
      </c>
      <c r="D11" s="13" t="s">
        <v>16</v>
      </c>
      <c r="E11" s="13" t="s">
        <v>25</v>
      </c>
      <c r="F11" s="14" t="n">
        <v>21040</v>
      </c>
      <c r="G11" s="11" t="s">
        <v>18</v>
      </c>
      <c r="H11" s="11" t="s">
        <v>19</v>
      </c>
      <c r="I11" s="15" t="n">
        <v>15687.72</v>
      </c>
      <c r="J11" s="13"/>
      <c r="K11" s="15" t="n">
        <v>1478.8</v>
      </c>
      <c r="L11" s="14" t="n">
        <f aca="false">INT(I11*K11)</f>
        <v>23199000</v>
      </c>
      <c r="M11" s="16" t="str">
        <f aca="false">"$"&amp;TEXT(I11,"#,##0.00")&amp;"*"&amp;TEXT(K11,"#,##0.0#")&amp;"원"</f>
        <v>$15,687.72*1,478.8원</v>
      </c>
    </row>
    <row r="12" customFormat="false" ht="15" hidden="false" customHeight="false" outlineLevel="0" collapsed="false">
      <c r="A12" s="5" t="s">
        <v>4</v>
      </c>
      <c r="B12" s="6" t="s">
        <v>26</v>
      </c>
      <c r="C12" s="5" t="n">
        <v>5</v>
      </c>
      <c r="D12" s="7" t="s">
        <v>16</v>
      </c>
      <c r="E12" s="7" t="s">
        <v>27</v>
      </c>
      <c r="F12" s="8" t="n">
        <v>62478</v>
      </c>
      <c r="G12" s="5" t="s">
        <v>18</v>
      </c>
      <c r="H12" s="5" t="s">
        <v>19</v>
      </c>
      <c r="I12" s="9" t="n">
        <v>10916.83</v>
      </c>
      <c r="J12" s="7"/>
      <c r="K12" s="9" t="n">
        <v>1464.3</v>
      </c>
      <c r="L12" s="8" t="n">
        <f aca="false">INT(I12*K12)</f>
        <v>15985514</v>
      </c>
      <c r="M12" s="10" t="str">
        <f aca="false">"$"&amp;TEXT(I12,"#,##0.00")&amp;"*"&amp;TEXT(K12,"#,##0.0#")&amp;"원"</f>
        <v>$10,916.83*1,464.3원</v>
      </c>
    </row>
    <row r="13" customFormat="false" ht="15" hidden="false" customHeight="false" outlineLevel="0" collapsed="false">
      <c r="A13" s="11" t="s">
        <v>4</v>
      </c>
      <c r="B13" s="12" t="s">
        <v>28</v>
      </c>
      <c r="C13" s="11" t="n">
        <v>6</v>
      </c>
      <c r="D13" s="13" t="s">
        <v>16</v>
      </c>
      <c r="E13" s="13" t="s">
        <v>29</v>
      </c>
      <c r="F13" s="14" t="n">
        <v>18934</v>
      </c>
      <c r="G13" s="11" t="s">
        <v>18</v>
      </c>
      <c r="H13" s="11" t="s">
        <v>19</v>
      </c>
      <c r="I13" s="15" t="n">
        <v>8222.37</v>
      </c>
      <c r="J13" s="13"/>
      <c r="K13" s="15" t="n">
        <v>1474.5</v>
      </c>
      <c r="L13" s="14" t="n">
        <f aca="false">INT(I13*K13)</f>
        <v>12123884</v>
      </c>
      <c r="M13" s="16" t="str">
        <f aca="false">"$"&amp;TEXT(I13,"#,##0.00")&amp;"*"&amp;TEXT(K13,"#,##0.0#")&amp;"원"</f>
        <v>$8,222.37*1,474.5원</v>
      </c>
    </row>
    <row r="14" customFormat="false" ht="15" hidden="false" customHeight="false" outlineLevel="0" collapsed="false">
      <c r="A14" s="5" t="s">
        <v>4</v>
      </c>
      <c r="B14" s="6" t="s">
        <v>30</v>
      </c>
      <c r="C14" s="5" t="n">
        <v>7</v>
      </c>
      <c r="D14" s="7" t="s">
        <v>16</v>
      </c>
      <c r="E14" s="7" t="s">
        <v>31</v>
      </c>
      <c r="F14" s="8" t="n">
        <v>18486</v>
      </c>
      <c r="G14" s="5" t="s">
        <v>18</v>
      </c>
      <c r="H14" s="5" t="s">
        <v>19</v>
      </c>
      <c r="I14" s="9" t="n">
        <v>7249.24</v>
      </c>
      <c r="J14" s="7"/>
      <c r="K14" s="9" t="n">
        <v>1493.1</v>
      </c>
      <c r="L14" s="8" t="n">
        <f aca="false">INT(I14*K14)</f>
        <v>10823840</v>
      </c>
      <c r="M14" s="10" t="str">
        <f aca="false">"$"&amp;TEXT(I14,"#,##0.00")&amp;"*"&amp;TEXT(K14,"#,##0.0#")&amp;"원"</f>
        <v>$7,249.24*1,493.1원</v>
      </c>
    </row>
    <row r="15" customFormat="false" ht="15" hidden="false" customHeight="false" outlineLevel="0" collapsed="false">
      <c r="A15" s="11" t="s">
        <v>4</v>
      </c>
      <c r="B15" s="12" t="s">
        <v>32</v>
      </c>
      <c r="C15" s="11" t="n">
        <v>8</v>
      </c>
      <c r="D15" s="13" t="s">
        <v>16</v>
      </c>
      <c r="E15" s="13" t="s">
        <v>23</v>
      </c>
      <c r="F15" s="14" t="n">
        <v>19888</v>
      </c>
      <c r="G15" s="11" t="s">
        <v>18</v>
      </c>
      <c r="H15" s="11" t="s">
        <v>19</v>
      </c>
      <c r="I15" s="15" t="n">
        <v>9859.28</v>
      </c>
      <c r="J15" s="13"/>
      <c r="K15" s="15" t="n">
        <v>1472.8</v>
      </c>
      <c r="L15" s="14" t="n">
        <f aca="false">INT(I15*K15)</f>
        <v>14520747</v>
      </c>
      <c r="M15" s="16" t="str">
        <f aca="false">"$"&amp;TEXT(I15,"#,##0.00")&amp;"*"&amp;TEXT(K15,"#,##0.0#")&amp;"원"</f>
        <v>$9,859.28*1,472.8원</v>
      </c>
    </row>
    <row r="16" customFormat="false" ht="15" hidden="false" customHeight="false" outlineLevel="0" collapsed="false">
      <c r="A16" s="5" t="s">
        <v>4</v>
      </c>
      <c r="B16" s="6" t="s">
        <v>33</v>
      </c>
      <c r="C16" s="5" t="n">
        <v>9</v>
      </c>
      <c r="D16" s="7" t="s">
        <v>16</v>
      </c>
      <c r="E16" s="7" t="s">
        <v>34</v>
      </c>
      <c r="F16" s="8" t="n">
        <v>16700</v>
      </c>
      <c r="G16" s="5" t="s">
        <v>18</v>
      </c>
      <c r="H16" s="5" t="s">
        <v>19</v>
      </c>
      <c r="I16" s="9" t="n">
        <v>8873.04</v>
      </c>
      <c r="J16" s="7"/>
      <c r="K16" s="9" t="n">
        <v>1467.3</v>
      </c>
      <c r="L16" s="8" t="n">
        <f aca="false">INT(I16*K16)</f>
        <v>13019411</v>
      </c>
      <c r="M16" s="10" t="str">
        <f aca="false">"$"&amp;TEXT(I16,"#,##0.00")&amp;"*"&amp;TEXT(K16,"#,##0.0#")&amp;"원"</f>
        <v>$8,873.04*1,467.3원</v>
      </c>
    </row>
    <row r="17" customFormat="false" ht="15" hidden="false" customHeight="false" outlineLevel="0" collapsed="false">
      <c r="A17" s="11" t="s">
        <v>4</v>
      </c>
      <c r="B17" s="12" t="s">
        <v>35</v>
      </c>
      <c r="C17" s="11" t="n">
        <v>10</v>
      </c>
      <c r="D17" s="13" t="s">
        <v>16</v>
      </c>
      <c r="E17" s="13" t="s">
        <v>36</v>
      </c>
      <c r="F17" s="14" t="n">
        <v>48257</v>
      </c>
      <c r="G17" s="11" t="s">
        <v>18</v>
      </c>
      <c r="H17" s="11" t="s">
        <v>19</v>
      </c>
      <c r="I17" s="15" t="n">
        <v>7339.79</v>
      </c>
      <c r="J17" s="13"/>
      <c r="K17" s="15" t="n">
        <v>1479.8</v>
      </c>
      <c r="L17" s="14" t="n">
        <f aca="false">INT(I17*K17)</f>
        <v>10861421</v>
      </c>
      <c r="M17" s="16" t="str">
        <f aca="false">"$"&amp;TEXT(I17,"#,##0.00")&amp;"*"&amp;TEXT(K17,"#,##0.0#")&amp;"원"</f>
        <v>$7,339.79*1,479.8원</v>
      </c>
    </row>
    <row r="18" customFormat="false" ht="15" hidden="false" customHeight="false" outlineLevel="0" collapsed="false">
      <c r="A18" s="5" t="s">
        <v>4</v>
      </c>
      <c r="B18" s="6" t="s">
        <v>37</v>
      </c>
      <c r="C18" s="5" t="n">
        <v>11</v>
      </c>
      <c r="D18" s="7" t="s">
        <v>16</v>
      </c>
      <c r="E18" s="7" t="s">
        <v>38</v>
      </c>
      <c r="F18" s="8" t="n">
        <v>26247</v>
      </c>
      <c r="G18" s="5" t="s">
        <v>18</v>
      </c>
      <c r="H18" s="5" t="s">
        <v>19</v>
      </c>
      <c r="I18" s="9" t="n">
        <v>11691.01</v>
      </c>
      <c r="J18" s="7"/>
      <c r="K18" s="9" t="n">
        <v>1489.5</v>
      </c>
      <c r="L18" s="8" t="n">
        <f aca="false">INT(I18*K18)</f>
        <v>17413759</v>
      </c>
      <c r="M18" s="10" t="str">
        <f aca="false">"$"&amp;TEXT(I18,"#,##0.00")&amp;"*"&amp;TEXT(K18,"#,##0.0#")&amp;"원"</f>
        <v>$11,691.01*1,489.5원</v>
      </c>
    </row>
    <row r="19" customFormat="false" ht="15" hidden="false" customHeight="false" outlineLevel="0" collapsed="false">
      <c r="A19" s="11" t="s">
        <v>4</v>
      </c>
      <c r="B19" s="12" t="s">
        <v>39</v>
      </c>
      <c r="C19" s="11" t="n">
        <v>12</v>
      </c>
      <c r="D19" s="13" t="s">
        <v>16</v>
      </c>
      <c r="E19" s="13" t="s">
        <v>40</v>
      </c>
      <c r="F19" s="14" t="n">
        <v>16479</v>
      </c>
      <c r="G19" s="11" t="s">
        <v>18</v>
      </c>
      <c r="H19" s="11" t="s">
        <v>19</v>
      </c>
      <c r="I19" s="15" t="n">
        <v>8611.32</v>
      </c>
      <c r="J19" s="13"/>
      <c r="K19" s="15" t="n">
        <v>1496</v>
      </c>
      <c r="L19" s="14" t="n">
        <f aca="false">INT(I19*K19)</f>
        <v>12882534</v>
      </c>
      <c r="M19" s="16" t="str">
        <f aca="false">"$"&amp;TEXT(I19,"#,##0.00")&amp;"*"&amp;TEXT(K19,"#,##0.0#")&amp;"원"</f>
        <v>$8,611.32*1,496.0원</v>
      </c>
    </row>
    <row r="20" customFormat="false" ht="15" hidden="false" customHeight="false" outlineLevel="0" collapsed="false">
      <c r="A20" s="5" t="s">
        <v>4</v>
      </c>
      <c r="B20" s="6" t="s">
        <v>41</v>
      </c>
      <c r="C20" s="5" t="n">
        <v>13</v>
      </c>
      <c r="D20" s="7" t="s">
        <v>16</v>
      </c>
      <c r="E20" s="7" t="s">
        <v>42</v>
      </c>
      <c r="F20" s="8" t="n">
        <v>20860</v>
      </c>
      <c r="G20" s="5" t="s">
        <v>18</v>
      </c>
      <c r="H20" s="5" t="s">
        <v>19</v>
      </c>
      <c r="I20" s="9" t="n">
        <v>11210.91</v>
      </c>
      <c r="J20" s="7"/>
      <c r="K20" s="9" t="n">
        <v>1491.6</v>
      </c>
      <c r="L20" s="8" t="n">
        <f aca="false">INT(I20*K20)</f>
        <v>16722193</v>
      </c>
      <c r="M20" s="10" t="str">
        <f aca="false">"$"&amp;TEXT(I20,"#,##0.00")&amp;"*"&amp;TEXT(K20,"#,##0.0#")&amp;"원"</f>
        <v>$11,210.91*1,491.6원</v>
      </c>
    </row>
    <row r="21" customFormat="false" ht="15" hidden="false" customHeight="false" outlineLevel="0" collapsed="false">
      <c r="A21" s="11" t="s">
        <v>4</v>
      </c>
      <c r="B21" s="12" t="s">
        <v>43</v>
      </c>
      <c r="C21" s="11" t="n">
        <v>14</v>
      </c>
      <c r="D21" s="13" t="s">
        <v>16</v>
      </c>
      <c r="E21" s="13" t="s">
        <v>44</v>
      </c>
      <c r="F21" s="14" t="n">
        <v>16296</v>
      </c>
      <c r="G21" s="11" t="s">
        <v>18</v>
      </c>
      <c r="H21" s="11" t="s">
        <v>19</v>
      </c>
      <c r="I21" s="15" t="n">
        <v>10222.06</v>
      </c>
      <c r="J21" s="13"/>
      <c r="K21" s="15" t="n">
        <v>1486</v>
      </c>
      <c r="L21" s="14" t="n">
        <f aca="false">INT(I21*K21)</f>
        <v>15189981</v>
      </c>
      <c r="M21" s="16" t="str">
        <f aca="false">"$"&amp;TEXT(I21,"#,##0.00")&amp;"*"&amp;TEXT(K21,"#,##0.0#")&amp;"원"</f>
        <v>$10,222.06*1,486.0원</v>
      </c>
    </row>
    <row r="22" customFormat="false" ht="15" hidden="false" customHeight="false" outlineLevel="0" collapsed="false">
      <c r="A22" s="5" t="s">
        <v>4</v>
      </c>
      <c r="B22" s="6" t="s">
        <v>45</v>
      </c>
      <c r="C22" s="5" t="n">
        <v>15</v>
      </c>
      <c r="D22" s="7" t="s">
        <v>16</v>
      </c>
      <c r="E22" s="7" t="s">
        <v>46</v>
      </c>
      <c r="F22" s="8" t="n">
        <v>50016</v>
      </c>
      <c r="G22" s="5" t="s">
        <v>18</v>
      </c>
      <c r="H22" s="5" t="s">
        <v>19</v>
      </c>
      <c r="I22" s="9" t="n">
        <v>12851.32</v>
      </c>
      <c r="J22" s="7"/>
      <c r="K22" s="9" t="n">
        <v>1499.7</v>
      </c>
      <c r="L22" s="8" t="n">
        <f aca="false">INT(I22*K22)</f>
        <v>19273124</v>
      </c>
      <c r="M22" s="10" t="str">
        <f aca="false">"$"&amp;TEXT(I22,"#,##0.00")&amp;"*"&amp;TEXT(K22,"#,##0.0#")&amp;"원"</f>
        <v>$12,851.32*1,499.7원</v>
      </c>
    </row>
    <row r="23" customFormat="false" ht="15" hidden="false" customHeight="false" outlineLevel="0" collapsed="false">
      <c r="A23" s="11" t="s">
        <v>4</v>
      </c>
      <c r="B23" s="12" t="s">
        <v>47</v>
      </c>
      <c r="C23" s="11" t="n">
        <v>16</v>
      </c>
      <c r="D23" s="13" t="s">
        <v>16</v>
      </c>
      <c r="E23" s="13" t="s">
        <v>48</v>
      </c>
      <c r="F23" s="14" t="n">
        <v>28037</v>
      </c>
      <c r="G23" s="11" t="s">
        <v>18</v>
      </c>
      <c r="H23" s="11" t="s">
        <v>19</v>
      </c>
      <c r="I23" s="15" t="n">
        <v>11136.55</v>
      </c>
      <c r="J23" s="13"/>
      <c r="K23" s="15" t="n">
        <v>1494.9</v>
      </c>
      <c r="L23" s="14" t="n">
        <f aca="false">INT(I23*K23)</f>
        <v>16648028</v>
      </c>
      <c r="M23" s="16" t="str">
        <f aca="false">"$"&amp;TEXT(I23,"#,##0.00")&amp;"*"&amp;TEXT(K23,"#,##0.0#")&amp;"원"</f>
        <v>$11,136.55*1,494.9원</v>
      </c>
    </row>
    <row r="24" customFormat="false" ht="15" hidden="false" customHeight="false" outlineLevel="0" collapsed="false">
      <c r="A24" s="5" t="s">
        <v>4</v>
      </c>
      <c r="B24" s="6" t="s">
        <v>49</v>
      </c>
      <c r="C24" s="5" t="n">
        <v>17</v>
      </c>
      <c r="D24" s="7" t="s">
        <v>16</v>
      </c>
      <c r="E24" s="7" t="s">
        <v>50</v>
      </c>
      <c r="F24" s="8" t="n">
        <v>31816</v>
      </c>
      <c r="G24" s="5" t="s">
        <v>18</v>
      </c>
      <c r="H24" s="5" t="s">
        <v>19</v>
      </c>
      <c r="I24" s="9" t="n">
        <v>9908.26</v>
      </c>
      <c r="J24" s="7"/>
      <c r="K24" s="9" t="n">
        <v>1509.6</v>
      </c>
      <c r="L24" s="8" t="n">
        <f aca="false">INT(I24*K24)</f>
        <v>14957509</v>
      </c>
      <c r="M24" s="10" t="str">
        <f aca="false">"$"&amp;TEXT(I24,"#,##0.00")&amp;"*"&amp;TEXT(K24,"#,##0.0#")&amp;"원"</f>
        <v>$9,908.26*1,509.6원</v>
      </c>
    </row>
    <row r="25" customFormat="false" ht="15" hidden="false" customHeight="false" outlineLevel="0" collapsed="false">
      <c r="A25" s="11" t="s">
        <v>4</v>
      </c>
      <c r="B25" s="12" t="s">
        <v>51</v>
      </c>
      <c r="C25" s="11" t="n">
        <v>18</v>
      </c>
      <c r="D25" s="13" t="s">
        <v>16</v>
      </c>
      <c r="E25" s="13" t="s">
        <v>52</v>
      </c>
      <c r="F25" s="14" t="n">
        <v>25145</v>
      </c>
      <c r="G25" s="11" t="s">
        <v>18</v>
      </c>
      <c r="H25" s="11" t="s">
        <v>19</v>
      </c>
      <c r="I25" s="15" t="n">
        <v>12119.07</v>
      </c>
      <c r="J25" s="13"/>
      <c r="K25" s="15" t="n">
        <v>1498.3</v>
      </c>
      <c r="L25" s="14" t="n">
        <f aca="false">INT(I25*K25)</f>
        <v>18158002</v>
      </c>
      <c r="M25" s="16" t="str">
        <f aca="false">"$"&amp;TEXT(I25,"#,##0.00")&amp;"*"&amp;TEXT(K25,"#,##0.0#")&amp;"원"</f>
        <v>$12,119.07*1,498.3원</v>
      </c>
    </row>
    <row r="26" customFormat="false" ht="12.65" hidden="false" customHeight="false" outlineLevel="0" collapsed="false">
      <c r="A26" s="5" t="s">
        <v>4</v>
      </c>
      <c r="B26" s="6" t="s">
        <v>53</v>
      </c>
      <c r="C26" s="5" t="n">
        <v>19</v>
      </c>
      <c r="D26" s="7" t="s">
        <v>16</v>
      </c>
      <c r="E26" s="7" t="s">
        <v>54</v>
      </c>
      <c r="F26" s="8" t="n">
        <v>50843</v>
      </c>
      <c r="G26" s="5" t="s">
        <v>18</v>
      </c>
      <c r="H26" s="5" t="s">
        <v>19</v>
      </c>
      <c r="I26" s="9" t="n">
        <v>16007.88</v>
      </c>
      <c r="J26" s="7"/>
      <c r="K26" s="9" t="n">
        <v>1495.6</v>
      </c>
      <c r="L26" s="8" t="n">
        <f aca="false">INT(I26*K26)</f>
        <v>23941385</v>
      </c>
      <c r="M26" s="10" t="str">
        <f aca="false">"$"&amp;TEXT(I26,"#,##0.00")&amp;"*"&amp;TEXT(K26,"#,##0.0#")&amp;"원"</f>
        <v>$16,007.88*1,495.6원</v>
      </c>
    </row>
    <row r="27" customFormat="false" ht="15" hidden="false" customHeight="false" outlineLevel="0" collapsed="false">
      <c r="A27" s="17"/>
      <c r="B27" s="17"/>
      <c r="C27" s="17"/>
      <c r="D27" s="17"/>
      <c r="E27" s="18" t="s">
        <v>55</v>
      </c>
      <c r="F27" s="19" t="n">
        <f aca="false">SUM(F8:F26)</f>
        <v>572197</v>
      </c>
      <c r="G27" s="17"/>
      <c r="H27" s="17"/>
      <c r="I27" s="20" t="n">
        <f aca="false">SUM(I8:I26)</f>
        <v>204064.01</v>
      </c>
      <c r="J27" s="17"/>
      <c r="K27" s="17"/>
      <c r="L27" s="19" t="n">
        <f aca="false">SUM(L8:L26)</f>
        <v>301891199</v>
      </c>
      <c r="M27" s="17"/>
    </row>
  </sheetData>
  <mergeCells count="1">
    <mergeCell ref="A1:M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2026-04-07T08:27:19Z</dcterms:created>
  <dc:creator>openpyxl</dc:creator>
  <dc:description/>
  <dc:language>en-US</dc:language>
  <cp:lastModifiedBy/>
  <dcterms:modified xsi:type="dcterms:W3CDTF">2026-04-07T08:27:19Z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