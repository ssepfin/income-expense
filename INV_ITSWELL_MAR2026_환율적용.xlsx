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<sst xmlns="http://schemas.openxmlformats.org/spreadsheetml/2006/main" count="40" uniqueCount="27">
  <si>
    <t xml:space="preserve">COMMERCIAL INVOICE - ITSWELL TOTAL MAR 2026</t>
  </si>
  <si>
    <t xml:space="preserve">Shipper: SHINSUNG EP CO., LTD</t>
  </si>
  <si>
    <t xml:space="preserve">Consignee: COASIA ITSWELL VINA CO., LTD</t>
  </si>
  <si>
    <t xml:space="preserve">Invoice No: KR-ITS2026-03 / MAR-31 2026</t>
  </si>
  <si>
    <t xml:space="preserve">Date</t>
  </si>
  <si>
    <t xml:space="preserve">No.</t>
  </si>
  <si>
    <t xml:space="preserve">Description</t>
  </si>
  <si>
    <t xml:space="preserve">Item Code</t>
  </si>
  <si>
    <t xml:space="preserve">Quantity</t>
  </si>
  <si>
    <t xml:space="preserve">Unit</t>
  </si>
  <si>
    <t xml:space="preserve">Currency</t>
  </si>
  <si>
    <t xml:space="preserve">Amount-US$</t>
  </si>
  <si>
    <r>
      <rPr>
        <b val="true"/>
        <sz val="10"/>
        <color rgb="FFFFFFFF"/>
        <rFont val="DejaVu Sans"/>
        <family val="2"/>
      </rPr>
      <t xml:space="preserve">환율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매매기준율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</si>
  <si>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Amount-KRW
(</t>
    </r>
    <r>
      <rPr>
        <b val="true"/>
        <sz val="10"/>
        <color rgb="FFFFFFFF"/>
        <rFont val="DejaVu Sans"/>
        <family val="2"/>
      </rPr>
      <t xml:space="preserve">원화환산액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</si>
  <si>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산출근거</t>
  </si>
  <si>
    <t xml:space="preserve">DATE</t>
  </si>
  <si>
    <t xml:space="preserve">20260303</t>
  </si>
  <si>
    <t xml:space="preserve">WIRE ASSY</t>
  </si>
  <si>
    <t xml:space="preserve">ITS-FWA2022090 ETC</t>
  </si>
  <si>
    <t xml:space="preserve">PCS</t>
  </si>
  <si>
    <t xml:space="preserve">US$</t>
  </si>
  <si>
    <t xml:space="preserve">20260305</t>
  </si>
  <si>
    <t xml:space="preserve">ITS-FWA2024034 ETC</t>
  </si>
  <si>
    <t xml:space="preserve">20260312</t>
  </si>
  <si>
    <t xml:space="preserve">20260319</t>
  </si>
  <si>
    <t xml:space="preserve">ITS-SWA31D00062 ETC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</si>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</sst>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2F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4"/>
    <col collapsed="false" customWidth="true" hidden="false" outlineLevel="0" max="10" min="10" style="0" width="3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34.5" hidden="false" customHeight="true" outlineLevel="0" collapsed="false">
      <c r="A7" s="3"/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/>
      <c r="K7" s="4" t="s">
        <v>12</v>
      </c>
      <c r="L7" s="3" t="s">
        <v>13</v>
      </c>
      <c r="M7" s="4" t="s">
        <v>14</v>
      </c>
    </row>
    <row r="8" customFormat="false" ht="15" hidden="false" customHeight="false" outlineLevel="0" collapsed="false">
      <c r="A8" s="5" t="s">
        <v>15</v>
      </c>
      <c r="B8" s="6" t="s">
        <v>16</v>
      </c>
      <c r="C8" s="5" t="n">
        <v>1</v>
      </c>
      <c r="D8" s="7" t="s">
        <v>17</v>
      </c>
      <c r="E8" s="7" t="s">
        <v>18</v>
      </c>
      <c r="F8" s="8" t="n">
        <v>89000</v>
      </c>
      <c r="G8" s="5" t="s">
        <v>19</v>
      </c>
      <c r="H8" s="5" t="s">
        <v>20</v>
      </c>
      <c r="I8" s="9" t="n">
        <v>4877.8</v>
      </c>
      <c r="J8" s="7"/>
      <c r="K8" s="9" t="n">
        <v>1435.4</v>
      </c>
      <c r="L8" s="8" t="n">
        <f aca="false">INT(I8*K8)</f>
        <v>7001594</v>
      </c>
      <c r="M8" s="10" t="str">
        <f aca="false">"$"&amp;TEXT(I8,"#,##0.00")&amp;"*"&amp;TEXT(K8,"#,##0.0#")&amp;"원"</f>
        <v>$4,877.80*1,435.4원</v>
      </c>
    </row>
    <row r="9" customFormat="false" ht="15" hidden="false" customHeight="false" outlineLevel="0" collapsed="false">
      <c r="A9" s="11" t="s">
        <v>15</v>
      </c>
      <c r="B9" s="12" t="s">
        <v>21</v>
      </c>
      <c r="C9" s="11" t="n">
        <v>2</v>
      </c>
      <c r="D9" s="13" t="s">
        <v>17</v>
      </c>
      <c r="E9" s="13" t="s">
        <v>22</v>
      </c>
      <c r="F9" s="14" t="n">
        <v>40000</v>
      </c>
      <c r="G9" s="11" t="s">
        <v>19</v>
      </c>
      <c r="H9" s="11" t="s">
        <v>20</v>
      </c>
      <c r="I9" s="15" t="n">
        <v>1484</v>
      </c>
      <c r="J9" s="13"/>
      <c r="K9" s="15" t="n">
        <v>1478.8</v>
      </c>
      <c r="L9" s="14" t="n">
        <f aca="false">INT(I9*K9)</f>
        <v>2194539</v>
      </c>
      <c r="M9" s="16" t="str">
        <f aca="false">"$"&amp;TEXT(I9,"#,##0.00")&amp;"*"&amp;TEXT(K9,"#,##0.0#")&amp;"원"</f>
        <v>$1,484.00*1,478.8원</v>
      </c>
    </row>
    <row r="10" customFormat="false" ht="15" hidden="false" customHeight="false" outlineLevel="0" collapsed="false">
      <c r="A10" s="5" t="s">
        <v>15</v>
      </c>
      <c r="B10" s="6" t="s">
        <v>23</v>
      </c>
      <c r="C10" s="5" t="n">
        <v>3</v>
      </c>
      <c r="D10" s="7" t="s">
        <v>17</v>
      </c>
      <c r="E10" s="7" t="s">
        <v>22</v>
      </c>
      <c r="F10" s="8" t="n">
        <v>79000</v>
      </c>
      <c r="G10" s="5" t="s">
        <v>19</v>
      </c>
      <c r="H10" s="5" t="s">
        <v>20</v>
      </c>
      <c r="I10" s="9" t="n">
        <v>3428.4</v>
      </c>
      <c r="J10" s="7"/>
      <c r="K10" s="9" t="n">
        <v>1467.3</v>
      </c>
      <c r="L10" s="8" t="n">
        <f aca="false">INT(I10*K10)</f>
        <v>5030491</v>
      </c>
      <c r="M10" s="10" t="str">
        <f aca="false">"$"&amp;TEXT(I10,"#,##0.00")&amp;"*"&amp;TEXT(K10,"#,##0.0#")&amp;"원"</f>
        <v>$3,428.40*1,467.3원</v>
      </c>
    </row>
    <row r="11" customFormat="false" ht="12.65" hidden="false" customHeight="false" outlineLevel="0" collapsed="false">
      <c r="A11" s="11" t="s">
        <v>15</v>
      </c>
      <c r="B11" s="12" t="s">
        <v>24</v>
      </c>
      <c r="C11" s="11" t="n">
        <v>4</v>
      </c>
      <c r="D11" s="13" t="s">
        <v>17</v>
      </c>
      <c r="E11" s="13" t="s">
        <v>25</v>
      </c>
      <c r="F11" s="14" t="n">
        <v>92000</v>
      </c>
      <c r="G11" s="11" t="s">
        <v>19</v>
      </c>
      <c r="H11" s="11" t="s">
        <v>20</v>
      </c>
      <c r="I11" s="15" t="n">
        <v>3645.4</v>
      </c>
      <c r="J11" s="13"/>
      <c r="K11" s="15" t="n">
        <v>1486</v>
      </c>
      <c r="L11" s="14" t="n">
        <f aca="false">INT(I11*K11)</f>
        <v>5417064</v>
      </c>
      <c r="M11" s="16" t="str">
        <f aca="false">"$"&amp;TEXT(I11,"#,##0.00")&amp;"*"&amp;TEXT(K11,"#,##0.0#")&amp;"원"</f>
        <v>$3,645.40*1,486.0원</v>
      </c>
    </row>
    <row r="12" customFormat="false" ht="15" hidden="false" customHeight="false" outlineLevel="0" collapsed="false">
      <c r="A12" s="17"/>
      <c r="B12" s="17"/>
      <c r="C12" s="17"/>
      <c r="D12" s="17"/>
      <c r="E12" s="18" t="s">
        <v>26</v>
      </c>
      <c r="F12" s="19" t="n">
        <f aca="false">SUM(F8:F11)</f>
        <v>300000</v>
      </c>
      <c r="G12" s="17"/>
      <c r="H12" s="17"/>
      <c r="I12" s="20" t="n">
        <f aca="false">SUM(I8:I11)</f>
        <v>13435.6</v>
      </c>
      <c r="J12" s="17"/>
      <c r="K12" s="17"/>
      <c r="L12" s="19" t="n">
        <f aca="false">SUM(L8:L11)</f>
        <v>19643688</v>
      </c>
      <c r="M12" s="17"/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2026-04-08T00:13:16Z</dcterms:created>
  <dc:creator>openpyxl</dc:creator>
  <dc:description/>
  <dc:language>en-US</dc:language>
  <cp:lastModifiedBy/>
  <dcterms:modified xsi:type="dcterms:W3CDTF">2026-04-08T00:13:16Z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