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정산 2603" sheetId="1" state="visible" r:id="rId3"/>
    <sheet name="2603 근무내역" sheetId="2" state="visible" r:id="rId4"/>
    <sheet name="홍구현 정산" sheetId="3" state="visible" r:id="rId5"/>
    <sheet name="주휴수당 계산" sheetId="4" state="visible" r:id="rId6"/>
  </sheets>
  <definedNames>
    <definedName function="false" hidden="false" localSheetId="0" name="_xlnm.Print_Area" vbProcedure="false">'정산 2603'!$B$1:$AO$19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PC2512</author>
  </authors>
  <commentList>
    <comment ref="F4" authorId="0">
      <text>
        <r>
          <rPr>
            <sz val="10"/>
            <rFont val="DejaVu Sans"/>
            <family val="2"/>
          </rPr>
          <t xml:space="preserve">대체공휴일</t>
        </r>
      </text>
    </comment>
  </commentList>
</comments>
</file>

<file path=xl/sharedStrings.xml><?xml version="1.0" encoding="utf-8"?>
<sst xmlns="http://schemas.openxmlformats.org/spreadsheetml/2006/main" count="233" uniqueCount="85">
  <si>
    <r>
      <rPr>
        <b val="true"/>
        <sz val="16"/>
        <color rgb="FFFFFFFF"/>
        <rFont val="맑은 고딕"/>
        <family val="0"/>
        <charset val="1"/>
      </rPr>
      <t xml:space="preserve">[ </t>
    </r>
    <r>
      <rPr>
        <b val="true"/>
        <sz val="16"/>
        <color rgb="FFFFFFFF"/>
        <rFont val="DejaVu Sans"/>
        <family val="2"/>
      </rPr>
      <t xml:space="preserve">물류팀 근무 현황 </t>
    </r>
    <r>
      <rPr>
        <b val="true"/>
        <sz val="16"/>
        <color rgb="FFFFFFFF"/>
        <rFont val="맑은 고딕"/>
        <family val="0"/>
        <charset val="1"/>
      </rPr>
      <t xml:space="preserve">]</t>
    </r>
  </si>
  <si>
    <t xml:space="preserve">구  분</t>
  </si>
  <si>
    <t xml:space="preserve">주휴
금액</t>
  </si>
  <si>
    <t xml:space="preserve">합계</t>
  </si>
  <si>
    <t xml:space="preserve">일</t>
  </si>
  <si>
    <t xml:space="preserve">월</t>
  </si>
  <si>
    <t xml:space="preserve">화</t>
  </si>
  <si>
    <t xml:space="preserve">수</t>
  </si>
  <si>
    <t xml:space="preserve">목</t>
  </si>
  <si>
    <t xml:space="preserve">금</t>
  </si>
  <si>
    <t xml:space="preserve">토</t>
  </si>
  <si>
    <t xml:space="preserve">연장시간</t>
  </si>
  <si>
    <t xml:space="preserve">유영순</t>
  </si>
  <si>
    <t xml:space="preserve">추가 시간</t>
  </si>
  <si>
    <t xml:space="preserve">월급여</t>
  </si>
  <si>
    <t xml:space="preserve">기본연장</t>
  </si>
  <si>
    <t xml:space="preserve">연장수당</t>
  </si>
  <si>
    <t xml:space="preserve">기본급</t>
  </si>
  <si>
    <t xml:space="preserve">추가근로수당</t>
  </si>
  <si>
    <t xml:space="preserve">시급</t>
  </si>
  <si>
    <t xml:space="preserve">강삼석</t>
  </si>
  <si>
    <t xml:space="preserve">홍구현</t>
  </si>
  <si>
    <t xml:space="preserve">김정원</t>
  </si>
  <si>
    <t xml:space="preserve">김선우</t>
  </si>
  <si>
    <t xml:space="preserve">정상 근로</t>
  </si>
  <si>
    <t xml:space="preserve">박신자</t>
  </si>
  <si>
    <t xml:space="preserve">김선녀</t>
  </si>
  <si>
    <t xml:space="preserve">송예원</t>
  </si>
  <si>
    <t xml:space="preserve">전수련</t>
  </si>
  <si>
    <t xml:space="preserve">유태현</t>
  </si>
  <si>
    <r>
      <rPr>
        <sz val="9"/>
        <rFont val="DejaVu Sans"/>
        <family val="2"/>
      </rPr>
      <t xml:space="preserve">참고  연봉제 </t>
    </r>
    <r>
      <rPr>
        <sz val="9"/>
        <rFont val="맑은 고딕"/>
        <family val="0"/>
        <charset val="1"/>
      </rPr>
      <t xml:space="preserve">- </t>
    </r>
    <r>
      <rPr>
        <sz val="9"/>
        <rFont val="DejaVu Sans"/>
        <family val="2"/>
      </rPr>
      <t xml:space="preserve">홍구현  </t>
    </r>
    <r>
      <rPr>
        <sz val="9"/>
        <rFont val="맑은 고딕"/>
        <family val="0"/>
        <charset val="1"/>
      </rPr>
      <t xml:space="preserve">3/2~3/11 </t>
    </r>
    <r>
      <rPr>
        <sz val="9"/>
        <rFont val="DejaVu Sans"/>
        <family val="2"/>
      </rPr>
      <t xml:space="preserve">근무 후 퇴사</t>
    </r>
    <r>
      <rPr>
        <sz val="9"/>
        <rFont val="맑은 고딕"/>
        <family val="0"/>
        <charset val="1"/>
      </rPr>
      <t xml:space="preserve">,        </t>
    </r>
    <r>
      <rPr>
        <sz val="9"/>
        <rFont val="DejaVu Sans"/>
        <family val="2"/>
      </rPr>
      <t xml:space="preserve">사원 </t>
    </r>
    <r>
      <rPr>
        <sz val="9"/>
        <rFont val="맑은 고딕"/>
        <family val="0"/>
        <charset val="1"/>
      </rPr>
      <t xml:space="preserve">- </t>
    </r>
    <r>
      <rPr>
        <sz val="9"/>
        <rFont val="DejaVu Sans"/>
        <family val="2"/>
      </rPr>
      <t xml:space="preserve">김정원 출근일 </t>
    </r>
    <r>
      <rPr>
        <sz val="9"/>
        <rFont val="맑은 고딕"/>
        <family val="0"/>
        <charset val="1"/>
      </rPr>
      <t xml:space="preserve">3/16~3/31</t>
    </r>
  </si>
  <si>
    <t xml:space="preserve">5/01</t>
  </si>
  <si>
    <t xml:space="preserve">5/02</t>
  </si>
  <si>
    <t xml:space="preserve">5/03</t>
  </si>
  <si>
    <t xml:space="preserve">5/04</t>
  </si>
  <si>
    <t xml:space="preserve">5/05</t>
  </si>
  <si>
    <t xml:space="preserve">5/06</t>
  </si>
  <si>
    <t xml:space="preserve">5/07</t>
  </si>
  <si>
    <t xml:space="preserve">5/8</t>
  </si>
  <si>
    <t xml:space="preserve">03/1</t>
  </si>
  <si>
    <t xml:space="preserve">03/2</t>
  </si>
  <si>
    <t xml:space="preserve">03/3</t>
  </si>
  <si>
    <t xml:space="preserve">03/4</t>
  </si>
  <si>
    <t xml:space="preserve">03/5</t>
  </si>
  <si>
    <t xml:space="preserve">03/6</t>
  </si>
  <si>
    <t xml:space="preserve">03/7</t>
  </si>
  <si>
    <t xml:space="preserve">03/8</t>
  </si>
  <si>
    <t xml:space="preserve">03/9</t>
  </si>
  <si>
    <t xml:space="preserve">03/10</t>
  </si>
  <si>
    <t xml:space="preserve">03/11</t>
  </si>
  <si>
    <t xml:space="preserve">03/12</t>
  </si>
  <si>
    <t xml:space="preserve">03/13</t>
  </si>
  <si>
    <t xml:space="preserve">03/14</t>
  </si>
  <si>
    <t xml:space="preserve">03/15</t>
  </si>
  <si>
    <t xml:space="preserve">03/16</t>
  </si>
  <si>
    <t xml:space="preserve">03/17</t>
  </si>
  <si>
    <t xml:space="preserve">03/18</t>
  </si>
  <si>
    <t xml:space="preserve">03/19</t>
  </si>
  <si>
    <t xml:space="preserve">03/20</t>
  </si>
  <si>
    <t xml:space="preserve">03/21</t>
  </si>
  <si>
    <t xml:space="preserve">03/22</t>
  </si>
  <si>
    <t xml:space="preserve">03/23</t>
  </si>
  <si>
    <t xml:space="preserve">03/24</t>
  </si>
  <si>
    <t xml:space="preserve">03/25</t>
  </si>
  <si>
    <t xml:space="preserve">03/26</t>
  </si>
  <si>
    <t xml:space="preserve">03/27</t>
  </si>
  <si>
    <t xml:space="preserve">03/28</t>
  </si>
  <si>
    <t xml:space="preserve">03/29</t>
  </si>
  <si>
    <t xml:space="preserve">03/30</t>
  </si>
  <si>
    <t xml:space="preserve">03/31</t>
  </si>
  <si>
    <t xml:space="preserve">12/30</t>
  </si>
  <si>
    <t xml:space="preserve">12/31</t>
  </si>
  <si>
    <t xml:space="preserve">연봉직</t>
  </si>
  <si>
    <t xml:space="preserve">기본급여</t>
  </si>
  <si>
    <t xml:space="preserve">기간</t>
  </si>
  <si>
    <t xml:space="preserve">3/1~3/11</t>
  </si>
  <si>
    <r>
      <rPr>
        <sz val="9"/>
        <rFont val="맑은 고딕"/>
        <family val="0"/>
        <charset val="1"/>
      </rPr>
      <t xml:space="preserve">11</t>
    </r>
    <r>
      <rPr>
        <sz val="9"/>
        <rFont val="DejaVu Sans"/>
        <family val="2"/>
      </rPr>
      <t xml:space="preserve">일</t>
    </r>
  </si>
  <si>
    <t xml:space="preserve">총계</t>
  </si>
  <si>
    <r>
      <rPr>
        <b val="true"/>
        <sz val="14"/>
        <color rgb="FF2F5597"/>
        <rFont val="맑은 고딕"/>
        <family val="0"/>
        <charset val="1"/>
      </rPr>
      <t xml:space="preserve">[ </t>
    </r>
    <r>
      <rPr>
        <b val="true"/>
        <sz val="14"/>
        <color rgb="FF2F5597"/>
        <rFont val="DejaVu Sans"/>
        <family val="2"/>
      </rPr>
      <t xml:space="preserve">주휴 수당 지급 기준 </t>
    </r>
    <r>
      <rPr>
        <b val="true"/>
        <sz val="14"/>
        <color rgb="FF2F5597"/>
        <rFont val="맑은 고딕"/>
        <family val="0"/>
        <charset val="1"/>
      </rPr>
      <t xml:space="preserve">]</t>
    </r>
  </si>
  <si>
    <r>
      <rPr>
        <sz val="10"/>
        <rFont val="맑은 고딕"/>
        <family val="0"/>
        <charset val="1"/>
      </rPr>
      <t xml:space="preserve">'24</t>
    </r>
    <r>
      <rPr>
        <sz val="10"/>
        <rFont val="DejaVu Sans"/>
        <family val="2"/>
      </rPr>
      <t xml:space="preserve">년도</t>
    </r>
  </si>
  <si>
    <r>
      <rPr>
        <sz val="10"/>
        <rFont val="DejaVu Sans"/>
        <family val="2"/>
      </rPr>
      <t xml:space="preserve">※ 주휴 수당 지급 기준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노동부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</si>
  <si>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 - 1</t>
    </r>
    <r>
      <rPr>
        <sz val="10"/>
        <rFont val="DejaVu Sans"/>
        <family val="2"/>
      </rPr>
      <t xml:space="preserve">주 한 </t>
    </r>
    <r>
      <rPr>
        <sz val="10"/>
        <rFont val="맑은 고딕"/>
        <family val="0"/>
        <charset val="1"/>
      </rPr>
      <t xml:space="preserve">15</t>
    </r>
    <r>
      <rPr>
        <sz val="10"/>
        <rFont val="DejaVu Sans"/>
        <family val="2"/>
      </rPr>
      <t xml:space="preserve">시간 이상 근무시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주휴 수당 지급</t>
    </r>
  </si>
  <si>
    <r>
      <rPr>
        <sz val="10"/>
        <rFont val="맑은 고딕"/>
        <family val="0"/>
        <charset val="1"/>
      </rPr>
      <t xml:space="preserve">  - 1</t>
    </r>
    <r>
      <rPr>
        <sz val="10"/>
        <rFont val="DejaVu Sans"/>
        <family val="2"/>
      </rPr>
      <t xml:space="preserve">주동안 총근무시간</t>
    </r>
    <r>
      <rPr>
        <sz val="10"/>
        <rFont val="맑은 고딕"/>
        <family val="0"/>
        <charset val="1"/>
      </rPr>
      <t xml:space="preserve">/40</t>
    </r>
    <r>
      <rPr>
        <sz val="10"/>
        <rFont val="DejaVu Sans"/>
        <family val="2"/>
      </rPr>
      <t xml:space="preserve">시간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주노동시간</t>
    </r>
    <r>
      <rPr>
        <sz val="10"/>
        <rFont val="맑은 고딕"/>
        <family val="0"/>
        <charset val="1"/>
      </rPr>
      <t xml:space="preserve">)x8(1</t>
    </r>
    <r>
      <rPr>
        <sz val="10"/>
        <rFont val="DejaVu Sans"/>
        <family val="2"/>
      </rPr>
      <t xml:space="preserve">일 근로시간</t>
    </r>
    <r>
      <rPr>
        <sz val="10"/>
        <rFont val="맑은 고딕"/>
        <family val="0"/>
        <charset val="1"/>
      </rPr>
      <t xml:space="preserve">) x </t>
    </r>
    <r>
      <rPr>
        <sz val="10"/>
        <rFont val="DejaVu Sans"/>
        <family val="2"/>
      </rPr>
      <t xml:space="preserve">시급</t>
    </r>
    <r>
      <rPr>
        <sz val="10"/>
        <rFont val="맑은 고딕"/>
        <family val="0"/>
        <charset val="1"/>
      </rPr>
      <t xml:space="preserve">(9,860)</t>
    </r>
  </si>
  <si>
    <r>
      <rPr>
        <sz val="10"/>
        <rFont val="맑은 고딕"/>
        <family val="0"/>
        <charset val="1"/>
      </rPr>
      <t xml:space="preserve">'25</t>
    </r>
    <r>
      <rPr>
        <sz val="10"/>
        <rFont val="DejaVu Sans"/>
        <family val="2"/>
      </rPr>
      <t xml:space="preserve">년도</t>
    </r>
  </si>
  <si>
    <r>
      <rPr>
        <sz val="10"/>
        <rFont val="맑은 고딕"/>
        <family val="0"/>
        <charset val="1"/>
      </rPr>
      <t xml:space="preserve">  - 1</t>
    </r>
    <r>
      <rPr>
        <sz val="10"/>
        <rFont val="DejaVu Sans"/>
        <family val="2"/>
      </rPr>
      <t xml:space="preserve">주동안 총근무시간</t>
    </r>
    <r>
      <rPr>
        <sz val="10"/>
        <rFont val="맑은 고딕"/>
        <family val="0"/>
        <charset val="1"/>
      </rPr>
      <t xml:space="preserve">/40</t>
    </r>
    <r>
      <rPr>
        <sz val="10"/>
        <rFont val="DejaVu Sans"/>
        <family val="2"/>
      </rPr>
      <t xml:space="preserve">시간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주노동시간</t>
    </r>
    <r>
      <rPr>
        <sz val="10"/>
        <rFont val="맑은 고딕"/>
        <family val="0"/>
        <charset val="1"/>
      </rPr>
      <t xml:space="preserve">)x8(1</t>
    </r>
    <r>
      <rPr>
        <sz val="10"/>
        <rFont val="DejaVu Sans"/>
        <family val="2"/>
      </rPr>
      <t xml:space="preserve">일 근로시간</t>
    </r>
    <r>
      <rPr>
        <sz val="10"/>
        <rFont val="맑은 고딕"/>
        <family val="0"/>
        <charset val="1"/>
      </rPr>
      <t xml:space="preserve">) x </t>
    </r>
    <r>
      <rPr>
        <sz val="10"/>
        <rFont val="DejaVu Sans"/>
        <family val="2"/>
      </rPr>
      <t xml:space="preserve">시급</t>
    </r>
    <r>
      <rPr>
        <sz val="10"/>
        <rFont val="맑은 고딕"/>
        <family val="0"/>
        <charset val="1"/>
      </rPr>
      <t xml:space="preserve">(10,100)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</si>
</sst>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m\/d;@"/>
    <numFmt numFmtId="169" formatCode="mm&quot;월 &quot;dd\일"/>
    <numFmt numFmtId="170" formatCode="_-* #,##0_-;\-* #,##0_-;_-* \-_-;_-@_-"/>
    <numFmt numFmtId="171" formatCode="_-* #,##0.00_-;\-* #,##0.00_-;_-* \-??_-;_-@_-"/>
  </numFmts>
  <fonts count="27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2"/>
      <charset val="163"/>
    </font>
    <font>
      <sz val="11"/>
      <color theme="0"/>
      <name val="맑은 고딕"/>
      <family val="2"/>
      <charset val="1"/>
    </font>
    <font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6100"/>
      <name val="맑은 고딕"/>
      <family val="2"/>
      <charset val="1"/>
    </font>
    <font>
      <b val="true"/>
      <sz val="11"/>
      <color rgb="FF000000"/>
      <name val="맑은 고딕"/>
      <family val="3"/>
      <charset val="129"/>
    </font>
    <font>
      <b val="true"/>
      <sz val="11"/>
      <name val="맑은 고딕"/>
      <family val="3"/>
      <charset val="129"/>
    </font>
    <font>
      <sz val="9"/>
      <name val="맑은 고딕"/>
      <family val="0"/>
      <charset val="1"/>
    </font>
    <font>
      <b val="true"/>
      <sz val="16"/>
      <color rgb="FFFFFFFF"/>
      <name val="맑은 고딕"/>
      <family val="0"/>
      <charset val="1"/>
    </font>
    <font>
      <b val="true"/>
      <sz val="16"/>
      <color rgb="FFFFFFFF"/>
      <name val="DejaVu Sans"/>
      <family val="2"/>
    </font>
    <font>
      <b val="true"/>
      <sz val="9"/>
      <name val="DejaVu Sans"/>
      <family val="2"/>
    </font>
    <font>
      <b val="true"/>
      <sz val="9"/>
      <name val="맑은 고딕"/>
      <family val="0"/>
      <charset val="1"/>
    </font>
    <font>
      <sz val="9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name val="맑은 고딕"/>
      <family val="0"/>
      <charset val="1"/>
    </font>
    <font>
      <b val="true"/>
      <sz val="9"/>
      <color rgb="FF375623"/>
      <name val="DejaVu Sans"/>
      <family val="2"/>
    </font>
    <font>
      <sz val="10"/>
      <name val="DejaVu Sans"/>
      <family val="2"/>
    </font>
    <font>
      <b val="true"/>
      <sz val="11"/>
      <color rgb="FF0000FF"/>
      <name val="맑은 고딕"/>
      <family val="3"/>
      <charset val="129"/>
    </font>
    <font>
      <b val="true"/>
      <sz val="10"/>
      <name val="DejaVu Sans"/>
      <family val="2"/>
    </font>
    <font>
      <b val="true"/>
      <sz val="14"/>
      <color rgb="FF2F5597"/>
      <name val="맑은 고딕"/>
      <family val="0"/>
      <charset val="1"/>
    </font>
    <font>
      <b val="true"/>
      <sz val="14"/>
      <color rgb="FF2F5597"/>
      <name val="DejaVu Sans"/>
      <family val="2"/>
    </font>
    <font>
      <sz val="10"/>
      <name val="맑은 고딕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theme="6"/>
        <bgColor rgb="FFB4B4B4"/>
      </patternFill>
    </fill>
    <fill>
      <patternFill patternType="solid">
        <fgColor rgb="FFC6EFCE"/>
        <bgColor rgb="FFC5E0B4"/>
      </patternFill>
    </fill>
    <fill>
      <patternFill patternType="solid">
        <fgColor rgb="FF2F5597"/>
        <bgColor rgb="FF4472C4"/>
      </patternFill>
    </fill>
    <fill>
      <patternFill patternType="solid">
        <fgColor rgb="FFDAE3F3"/>
        <bgColor rgb="FFD6E4F0"/>
      </patternFill>
    </fill>
    <fill>
      <patternFill patternType="solid">
        <fgColor rgb="FFFCE4EC"/>
        <bgColor rgb="FFFBE5D6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BE5D6"/>
      </patternFill>
    </fill>
    <fill>
      <patternFill patternType="solid">
        <fgColor rgb="FFD6E4F0"/>
        <bgColor rgb="FFDAE3F3"/>
      </patternFill>
    </fill>
    <fill>
      <patternFill patternType="solid">
        <fgColor rgb="FF4472C4"/>
        <bgColor rgb="FF666699"/>
      </patternFill>
    </fill>
    <fill>
      <patternFill patternType="solid">
        <fgColor rgb="FFE9EDF5"/>
        <bgColor rgb="FFF2F7ED"/>
      </patternFill>
    </fill>
    <fill>
      <patternFill patternType="solid">
        <fgColor rgb="FFFFF5F5"/>
        <bgColor rgb="FFFFFDE7"/>
      </patternFill>
    </fill>
    <fill>
      <patternFill patternType="solid">
        <fgColor rgb="FFF2F7ED"/>
        <bgColor rgb="FFFFF5F5"/>
      </patternFill>
    </fill>
    <fill>
      <patternFill patternType="solid">
        <fgColor rgb="FFFFFDE7"/>
        <bgColor rgb="FFFFF5F5"/>
      </patternFill>
    </fill>
    <fill>
      <patternFill patternType="solid">
        <fgColor theme="0"/>
        <bgColor rgb="FFFFFDE7"/>
      </patternFill>
    </fill>
    <fill>
      <patternFill patternType="solid">
        <fgColor rgb="FFFFFF00"/>
        <bgColor rgb="FFFFF2CC"/>
      </patternFill>
    </fill>
    <fill>
      <patternFill patternType="solid">
        <fgColor theme="0" tint="-0.15"/>
        <bgColor rgb="FFD6E4F0"/>
      </patternFill>
    </fill>
    <fill>
      <patternFill patternType="solid">
        <fgColor theme="8" tint="0.5999"/>
        <bgColor rgb="FFD9D9D9"/>
      </patternFill>
    </fill>
    <fill>
      <patternFill patternType="solid">
        <fgColor theme="5" tint="0.7999"/>
        <bgColor rgb="FFFCE4EC"/>
      </patternFill>
    </fill>
    <fill>
      <patternFill patternType="solid">
        <fgColor theme="5" tint="0.5999"/>
        <bgColor rgb="FFFBE5D6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9" tint="0.5999"/>
        <bgColor rgb="FFC6EFCE"/>
      </patternFill>
    </fill>
    <fill>
      <patternFill patternType="solid">
        <fgColor theme="9" tint="0.3999"/>
        <bgColor rgb="FFC5E0B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medium">
        <color rgb="FF4472C4"/>
      </top>
      <bottom style="medium">
        <color rgb="FF4472C4"/>
      </bottom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medium">
        <color rgb="FF4472C4"/>
      </bottom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3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9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6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5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7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8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9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6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5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7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10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1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2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3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4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9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0" borderId="3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0" borderId="3" xfId="3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7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6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4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9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15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15" borderId="3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14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2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3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4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0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7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17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3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3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3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3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6" fillId="5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10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5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15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16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7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8" borderId="3" xfId="3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6" fillId="0" borderId="0" xfId="26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2" fillId="0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19" borderId="0" xfId="26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2" fillId="19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6" fillId="20" borderId="0" xfId="26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2" fillId="20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21" borderId="0" xfId="3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21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3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3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21" fillId="22" borderId="0" xfId="26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22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6" fillId="23" borderId="0" xfId="26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2" fillId="23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24" borderId="0" xfId="3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24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2" xfId="20"/>
    <cellStyle name="Normal 3" xfId="21"/>
    <cellStyle name="Normal_Book1" xfId="22"/>
    <cellStyle name="강조색3 2" xfId="23"/>
    <cellStyle name="강조색3 3" xfId="24"/>
    <cellStyle name="쉼표 2" xfId="25"/>
    <cellStyle name="쉼표 [0] 2" xfId="26"/>
    <cellStyle name="좋음 2" xfId="27"/>
    <cellStyle name="통화 2" xfId="28"/>
    <cellStyle name="표준 2" xfId="29"/>
    <cellStyle name="표준 3" xfId="30"/>
    <cellStyle name="Excel Built-in Comma [0]" xfId="3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B4B4"/>
      <rgbColor rgb="FFFFF5F5"/>
      <rgbColor rgb="FFD6E4F0"/>
      <rgbColor rgb="FF993366"/>
      <rgbColor rgb="FFFFFDE7"/>
      <rgbColor rgb="FFE2F0D9"/>
      <rgbColor rgb="FF660066"/>
      <rgbColor rgb="FFFCE4EC"/>
      <rgbColor rgb="FF0066CC"/>
      <rgbColor rgb="FFBDD7EE"/>
      <rgbColor rgb="FF000080"/>
      <rgbColor rgb="FFFF00FF"/>
      <rgbColor rgb="FFF2F7ED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C5E0B4"/>
      <rgbColor rgb="FFF4B183"/>
      <rgbColor rgb="FFD9D9D9"/>
      <rgbColor rgb="FFF8CBAD"/>
      <rgbColor rgb="FF4472C4"/>
      <rgbColor rgb="FFDAE3F3"/>
      <rgbColor rgb="FFA9D18E"/>
      <rgbColor rgb="FFFBE5D6"/>
      <rgbColor rgb="FFE9EDF5"/>
      <rgbColor rgb="FFFF6600"/>
      <rgbColor rgb="FF666699"/>
      <rgbColor rgb="FFA5A5A5"/>
      <rgbColor rgb="FF003366"/>
      <rgbColor rgb="FF00B050"/>
      <rgbColor rgb="FF181717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15</xdr:col>
      <xdr:colOff>334800</xdr:colOff>
      <xdr:row>7</xdr:row>
      <xdr:rowOff>267120</xdr:rowOff>
    </xdr:to>
    <xdr:pic>
      <xdr:nvPicPr>
        <xdr:cNvPr id="1" name="그림 1"/>
        <xdr:cNvPicPr/>
      </xdr:nvPicPr>
      <xdr:blipFill>
        <a:blip r:embed="rId1"/>
        <a:stretch/>
      </xdr:blipFill>
      <xdr:spPr>
        <a:xfrm>
          <a:off x="12341160" y="866880"/>
          <a:ext cx="3370320" cy="1781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테마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W35"/>
  <sheetViews>
    <sheetView showFormulas="false" showGridLines="false" showRowColHeaders="true" showZeros="true" rightToLeft="false" tabSelected="true" showOutlineSymbols="true" defaultGridColor="true" view="normal" topLeftCell="A3" colorId="64" zoomScale="115" zoomScaleNormal="115" zoomScalePageLayoutView="75" workbookViewId="0">
      <pane xSplit="4" ySplit="5" topLeftCell="E6" activePane="bottomRight" state="frozen"/>
      <selection pane="topLeft" activeCell="A3" activeCellId="0" sqref="A3"/>
      <selection pane="topRight" activeCell="E3" activeCellId="0" sqref="E3"/>
      <selection pane="bottomLeft" activeCell="A6" activeCellId="0" sqref="A6"/>
      <selection pane="bottomRight" activeCell="AR12" activeCellId="0" sqref="AR12"/>
    </sheetView>
  </sheetViews>
  <sheetFormatPr defaultColWidth="8.75" defaultRowHeight="16.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2" width="8"/>
    <col collapsed="false" customWidth="true" hidden="false" outlineLevel="0" max="4" min="3" style="1" width="7"/>
    <col collapsed="false" customWidth="true" hidden="false" outlineLevel="0" max="13" min="5" style="3" width="7"/>
    <col collapsed="false" customWidth="true" hidden="false" outlineLevel="0" max="24" min="14" style="1" width="7"/>
    <col collapsed="false" customWidth="true" hidden="false" outlineLevel="0" max="25" min="25" style="2" width="7"/>
    <col collapsed="false" customWidth="true" hidden="false" outlineLevel="0" max="40" min="26" style="1" width="7"/>
    <col collapsed="false" customWidth="true" hidden="false" outlineLevel="0" max="41" min="41" style="2" width="12"/>
    <col collapsed="false" customWidth="true" hidden="false" outlineLevel="0" max="42" min="42" style="1" width="2.75"/>
    <col collapsed="false" customWidth="true" hidden="false" outlineLevel="0" max="43" min="43" style="2" width="7.25"/>
    <col collapsed="false" customWidth="false" hidden="false" outlineLevel="0" max="44" min="44" style="1" width="8.75"/>
    <col collapsed="false" customWidth="true" hidden="false" outlineLevel="0" max="45" min="45" style="1" width="13.63"/>
    <col collapsed="false" customWidth="true" hidden="false" outlineLevel="0" max="46" min="46" style="1" width="9.38"/>
    <col collapsed="false" customWidth="true" hidden="false" outlineLevel="0" max="47" min="47" style="2" width="14"/>
    <col collapsed="false" customWidth="true" hidden="false" outlineLevel="0" max="48" min="48" style="2" width="12.38"/>
    <col collapsed="false" customWidth="true" hidden="false" outlineLevel="0" max="49" min="49" style="1" width="12.38"/>
    <col collapsed="false" customWidth="false" hidden="false" outlineLevel="0" max="16384" min="50" style="1" width="8.75"/>
  </cols>
  <sheetData>
    <row r="1" customFormat="false" ht="16.5" hidden="false" customHeight="fals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customFormat="false" ht="34.5" hidden="false" customHeight="true" outlineLevel="0" collapsed="false">
      <c r="A2" s="4"/>
      <c r="B2" s="5" t="s">
        <v>0</v>
      </c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7"/>
      <c r="AS2" s="7"/>
      <c r="AT2" s="6"/>
      <c r="AU2" s="6"/>
      <c r="AV2" s="6"/>
      <c r="AW2" s="6"/>
    </row>
    <row r="3" customFormat="false" ht="17.2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8"/>
      <c r="AS3" s="8"/>
      <c r="AT3" s="4"/>
      <c r="AU3" s="4"/>
      <c r="AV3" s="4"/>
      <c r="AW3" s="4"/>
    </row>
    <row r="4" customFormat="false" ht="21.75" hidden="false" customHeight="true" outlineLevel="0" collapsed="false">
      <c r="A4" s="4"/>
      <c r="B4" s="9" t="s">
        <v>1</v>
      </c>
      <c r="C4" s="9"/>
      <c r="D4" s="9"/>
      <c r="E4" s="10" t="n">
        <v>46082</v>
      </c>
      <c r="F4" s="11" t="n">
        <v>46083</v>
      </c>
      <c r="G4" s="11" t="n">
        <v>46084</v>
      </c>
      <c r="H4" s="11" t="n">
        <v>46085</v>
      </c>
      <c r="I4" s="11" t="n">
        <v>46086</v>
      </c>
      <c r="J4" s="11" t="n">
        <v>46087</v>
      </c>
      <c r="K4" s="12" t="n">
        <v>46088</v>
      </c>
      <c r="L4" s="10" t="n">
        <v>46089</v>
      </c>
      <c r="M4" s="13" t="s">
        <v>2</v>
      </c>
      <c r="N4" s="11" t="n">
        <v>46090</v>
      </c>
      <c r="O4" s="11" t="n">
        <v>46091</v>
      </c>
      <c r="P4" s="11" t="n">
        <v>46092</v>
      </c>
      <c r="Q4" s="11" t="n">
        <v>46093</v>
      </c>
      <c r="R4" s="11" t="n">
        <v>46094</v>
      </c>
      <c r="S4" s="12" t="n">
        <v>46095</v>
      </c>
      <c r="T4" s="10" t="n">
        <v>46096</v>
      </c>
      <c r="U4" s="13" t="s">
        <v>2</v>
      </c>
      <c r="V4" s="11" t="n">
        <v>46097</v>
      </c>
      <c r="W4" s="11" t="n">
        <v>46098</v>
      </c>
      <c r="X4" s="11" t="n">
        <v>46099</v>
      </c>
      <c r="Y4" s="11" t="n">
        <v>46100</v>
      </c>
      <c r="Z4" s="11" t="n">
        <v>46101</v>
      </c>
      <c r="AA4" s="12" t="n">
        <v>46102</v>
      </c>
      <c r="AB4" s="10" t="n">
        <v>46103</v>
      </c>
      <c r="AC4" s="13" t="s">
        <v>2</v>
      </c>
      <c r="AD4" s="11" t="n">
        <v>46104</v>
      </c>
      <c r="AE4" s="11" t="n">
        <v>46105</v>
      </c>
      <c r="AF4" s="11" t="n">
        <v>46106</v>
      </c>
      <c r="AG4" s="11" t="n">
        <v>46107</v>
      </c>
      <c r="AH4" s="11" t="n">
        <v>46108</v>
      </c>
      <c r="AI4" s="12" t="n">
        <v>46109</v>
      </c>
      <c r="AJ4" s="10" t="n">
        <v>46110</v>
      </c>
      <c r="AK4" s="13" t="s">
        <v>2</v>
      </c>
      <c r="AL4" s="11" t="n">
        <v>46111</v>
      </c>
      <c r="AM4" s="11" t="n">
        <v>46112</v>
      </c>
      <c r="AN4" s="13" t="s">
        <v>2</v>
      </c>
      <c r="AO4" s="14" t="s">
        <v>3</v>
      </c>
      <c r="AP4" s="4"/>
      <c r="AQ4" s="4"/>
      <c r="AR4" s="4"/>
      <c r="AS4" s="4"/>
      <c r="AT4" s="4"/>
      <c r="AU4" s="4"/>
      <c r="AV4" s="4"/>
      <c r="AW4" s="4"/>
    </row>
    <row r="5" customFormat="false" ht="21.75" hidden="false" customHeight="true" outlineLevel="0" collapsed="false">
      <c r="A5" s="4"/>
      <c r="B5" s="9"/>
      <c r="C5" s="9"/>
      <c r="D5" s="9"/>
      <c r="E5" s="15" t="s">
        <v>4</v>
      </c>
      <c r="F5" s="16" t="s">
        <v>5</v>
      </c>
      <c r="G5" s="16" t="s">
        <v>6</v>
      </c>
      <c r="H5" s="16" t="s">
        <v>7</v>
      </c>
      <c r="I5" s="16" t="s">
        <v>8</v>
      </c>
      <c r="J5" s="16" t="s">
        <v>9</v>
      </c>
      <c r="K5" s="17" t="s">
        <v>10</v>
      </c>
      <c r="L5" s="15" t="s">
        <v>4</v>
      </c>
      <c r="M5" s="13"/>
      <c r="N5" s="16" t="s">
        <v>5</v>
      </c>
      <c r="O5" s="16" t="s">
        <v>6</v>
      </c>
      <c r="P5" s="16" t="s">
        <v>7</v>
      </c>
      <c r="Q5" s="16" t="s">
        <v>8</v>
      </c>
      <c r="R5" s="16" t="s">
        <v>9</v>
      </c>
      <c r="S5" s="17" t="s">
        <v>10</v>
      </c>
      <c r="T5" s="15" t="s">
        <v>4</v>
      </c>
      <c r="U5" s="13"/>
      <c r="V5" s="16" t="s">
        <v>5</v>
      </c>
      <c r="W5" s="16" t="s">
        <v>6</v>
      </c>
      <c r="X5" s="16" t="s">
        <v>7</v>
      </c>
      <c r="Y5" s="16" t="s">
        <v>8</v>
      </c>
      <c r="Z5" s="16" t="s">
        <v>9</v>
      </c>
      <c r="AA5" s="17" t="s">
        <v>10</v>
      </c>
      <c r="AB5" s="15" t="s">
        <v>4</v>
      </c>
      <c r="AC5" s="13"/>
      <c r="AD5" s="16" t="s">
        <v>5</v>
      </c>
      <c r="AE5" s="16" t="s">
        <v>6</v>
      </c>
      <c r="AF5" s="16" t="s">
        <v>7</v>
      </c>
      <c r="AG5" s="16" t="s">
        <v>8</v>
      </c>
      <c r="AH5" s="16" t="s">
        <v>9</v>
      </c>
      <c r="AI5" s="17" t="s">
        <v>10</v>
      </c>
      <c r="AJ5" s="15" t="s">
        <v>4</v>
      </c>
      <c r="AK5" s="13"/>
      <c r="AL5" s="16" t="s">
        <v>5</v>
      </c>
      <c r="AM5" s="16" t="s">
        <v>6</v>
      </c>
      <c r="AN5" s="13"/>
      <c r="AO5" s="14"/>
      <c r="AP5" s="4"/>
      <c r="AQ5" s="4"/>
      <c r="AR5" s="8"/>
      <c r="AS5" s="8"/>
      <c r="AT5" s="18" t="s">
        <v>11</v>
      </c>
      <c r="AU5" s="4"/>
      <c r="AV5" s="4"/>
      <c r="AW5" s="4"/>
    </row>
    <row r="6" customFormat="false" ht="19.5" hidden="false" customHeight="true" outlineLevel="0" collapsed="false">
      <c r="A6" s="4"/>
      <c r="B6" s="19" t="s">
        <v>12</v>
      </c>
      <c r="C6" s="20" t="s">
        <v>13</v>
      </c>
      <c r="D6" s="20"/>
      <c r="E6" s="21"/>
      <c r="F6" s="22" t="n">
        <v>8</v>
      </c>
      <c r="G6" s="22"/>
      <c r="H6" s="22"/>
      <c r="I6" s="22"/>
      <c r="J6" s="22"/>
      <c r="K6" s="23"/>
      <c r="L6" s="21"/>
      <c r="M6" s="24"/>
      <c r="N6" s="22"/>
      <c r="O6" s="22"/>
      <c r="P6" s="22"/>
      <c r="Q6" s="22"/>
      <c r="R6" s="22"/>
      <c r="S6" s="23"/>
      <c r="T6" s="21"/>
      <c r="U6" s="24"/>
      <c r="V6" s="22"/>
      <c r="W6" s="22"/>
      <c r="X6" s="22"/>
      <c r="Y6" s="22"/>
      <c r="Z6" s="22"/>
      <c r="AA6" s="23"/>
      <c r="AB6" s="21"/>
      <c r="AC6" s="24"/>
      <c r="AD6" s="22"/>
      <c r="AE6" s="22"/>
      <c r="AF6" s="22"/>
      <c r="AG6" s="22"/>
      <c r="AH6" s="22"/>
      <c r="AI6" s="23"/>
      <c r="AJ6" s="21"/>
      <c r="AK6" s="24"/>
      <c r="AL6" s="22"/>
      <c r="AM6" s="22"/>
      <c r="AN6" s="24"/>
      <c r="AO6" s="25" t="n">
        <f aca="false">SUM(E6:AN6)</f>
        <v>8</v>
      </c>
      <c r="AP6" s="4"/>
      <c r="AQ6" s="26" t="s">
        <v>12</v>
      </c>
      <c r="AR6" s="27" t="s">
        <v>14</v>
      </c>
      <c r="AS6" s="27" t="n">
        <v>2730836</v>
      </c>
      <c r="AT6" s="22" t="n">
        <f aca="false">AO6-M6-U6-AC6-AK6-AN6</f>
        <v>8</v>
      </c>
      <c r="AU6" s="26" t="s">
        <v>15</v>
      </c>
      <c r="AV6" s="26" t="s">
        <v>16</v>
      </c>
      <c r="AW6" s="26" t="s">
        <v>17</v>
      </c>
    </row>
    <row r="7" s="37" customFormat="true" ht="19.5" hidden="false" customHeight="true" outlineLevel="0" collapsed="false">
      <c r="A7" s="18"/>
      <c r="B7" s="19"/>
      <c r="C7" s="28" t="s">
        <v>18</v>
      </c>
      <c r="D7" s="28"/>
      <c r="E7" s="29" t="n">
        <f aca="false">IFERROR($AS$8/209*E6*1.5,0)</f>
        <v>0</v>
      </c>
      <c r="F7" s="30" t="n">
        <f aca="false">IFERROR($AS$6/209*F6*1.5,0)</f>
        <v>156794.411483254</v>
      </c>
      <c r="G7" s="29"/>
      <c r="H7" s="29"/>
      <c r="I7" s="29"/>
      <c r="J7" s="29"/>
      <c r="K7" s="29" t="n">
        <f aca="false">IFERROR($AS$8/209*K6*1.5,0)</f>
        <v>0</v>
      </c>
      <c r="L7" s="29" t="n">
        <f aca="false">IFERROR($AS$8/209*L6*1.5,0)</f>
        <v>0</v>
      </c>
      <c r="M7" s="31"/>
      <c r="N7" s="29" t="n">
        <f aca="false">IFERROR($AS$8/209*N6*1.5,0)</f>
        <v>0</v>
      </c>
      <c r="O7" s="29" t="n">
        <f aca="false">IFERROR($AS$8/209*O6*1.5,0)</f>
        <v>0</v>
      </c>
      <c r="P7" s="29" t="n">
        <f aca="false">IFERROR($AS$8/209*P6*1.5,0)</f>
        <v>0</v>
      </c>
      <c r="Q7" s="29" t="n">
        <f aca="false">IFERROR($AS$8/209*Q6*1.5,0)</f>
        <v>0</v>
      </c>
      <c r="R7" s="29" t="n">
        <f aca="false">IFERROR($AS$8/209*R6*1.5,0)</f>
        <v>0</v>
      </c>
      <c r="S7" s="29" t="n">
        <f aca="false">IFERROR($AS$8/209*S6*1.5,0)</f>
        <v>0</v>
      </c>
      <c r="T7" s="29" t="n">
        <f aca="false">IFERROR($AS$8/209*T6*1.5,0)</f>
        <v>0</v>
      </c>
      <c r="U7" s="31"/>
      <c r="V7" s="29" t="n">
        <f aca="false">IFERROR($AS$8/209*V6*1.5,0)</f>
        <v>0</v>
      </c>
      <c r="W7" s="29" t="n">
        <f aca="false">IFERROR($AS$8/209*W6*1.5,0)</f>
        <v>0</v>
      </c>
      <c r="X7" s="29" t="n">
        <f aca="false">IFERROR($AS$8/209*X6*1.5,0)</f>
        <v>0</v>
      </c>
      <c r="Y7" s="29" t="n">
        <f aca="false">IFERROR($AS$8/209*Y6*1.5,0)</f>
        <v>0</v>
      </c>
      <c r="Z7" s="29" t="n">
        <f aca="false">IFERROR($AS$8/209*Z6*1.5,0)</f>
        <v>0</v>
      </c>
      <c r="AA7" s="29" t="n">
        <f aca="false">IFERROR($AS$8/209*AA6*1.5,0)</f>
        <v>0</v>
      </c>
      <c r="AB7" s="29" t="n">
        <f aca="false">IFERROR($AS$8/209*AB6*1.5,0)</f>
        <v>0</v>
      </c>
      <c r="AC7" s="31"/>
      <c r="AD7" s="29" t="n">
        <f aca="false">IFERROR($AS$8/209*AD6*1.5,0)</f>
        <v>0</v>
      </c>
      <c r="AE7" s="29" t="n">
        <f aca="false">IFERROR($AS$8/209*AE6*1.5,0)</f>
        <v>0</v>
      </c>
      <c r="AF7" s="29" t="n">
        <f aca="false">IFERROR($AS$8/209*AF6*1.5,0)</f>
        <v>0</v>
      </c>
      <c r="AG7" s="29" t="n">
        <f aca="false">IFERROR($AS$8/209*AG6*1.5,0)</f>
        <v>0</v>
      </c>
      <c r="AH7" s="29" t="n">
        <f aca="false">IFERROR($AS$8/209*AH6*1.5,0)</f>
        <v>0</v>
      </c>
      <c r="AI7" s="29" t="n">
        <f aca="false">IFERROR($AS$8/209*AI6*1.5,0)</f>
        <v>0</v>
      </c>
      <c r="AJ7" s="29"/>
      <c r="AK7" s="31"/>
      <c r="AL7" s="29"/>
      <c r="AM7" s="29"/>
      <c r="AN7" s="31"/>
      <c r="AO7" s="32" t="n">
        <f aca="false">SUM(E7:AN7)</f>
        <v>156794.411483254</v>
      </c>
      <c r="AP7" s="4"/>
      <c r="AQ7" s="33"/>
      <c r="AR7" s="34" t="s">
        <v>19</v>
      </c>
      <c r="AS7" s="34" t="n">
        <f aca="false">AS6/209</f>
        <v>13066.2009569378</v>
      </c>
      <c r="AT7" s="35"/>
      <c r="AU7" s="27" t="n">
        <v>1019164</v>
      </c>
      <c r="AV7" s="36" t="n">
        <f aca="false">AO7+AU7</f>
        <v>1175958.41148325</v>
      </c>
      <c r="AW7" s="36" t="n">
        <v>2730836</v>
      </c>
    </row>
    <row r="8" customFormat="false" ht="19.5" hidden="false" customHeight="true" outlineLevel="0" collapsed="false">
      <c r="A8" s="4"/>
      <c r="B8" s="19" t="s">
        <v>20</v>
      </c>
      <c r="C8" s="20" t="s">
        <v>13</v>
      </c>
      <c r="D8" s="20"/>
      <c r="E8" s="21"/>
      <c r="F8" s="22" t="n">
        <v>8</v>
      </c>
      <c r="G8" s="22"/>
      <c r="H8" s="22"/>
      <c r="I8" s="22"/>
      <c r="J8" s="22"/>
      <c r="K8" s="23"/>
      <c r="L8" s="21"/>
      <c r="M8" s="24"/>
      <c r="N8" s="22"/>
      <c r="O8" s="22"/>
      <c r="P8" s="22"/>
      <c r="Q8" s="22"/>
      <c r="R8" s="22"/>
      <c r="S8" s="23" t="n">
        <v>8</v>
      </c>
      <c r="T8" s="21"/>
      <c r="U8" s="24"/>
      <c r="V8" s="22"/>
      <c r="W8" s="22"/>
      <c r="X8" s="22"/>
      <c r="Y8" s="22"/>
      <c r="Z8" s="22"/>
      <c r="AA8" s="23"/>
      <c r="AB8" s="21"/>
      <c r="AC8" s="24"/>
      <c r="AD8" s="22"/>
      <c r="AE8" s="22"/>
      <c r="AF8" s="22"/>
      <c r="AG8" s="22"/>
      <c r="AH8" s="22"/>
      <c r="AI8" s="23"/>
      <c r="AJ8" s="21"/>
      <c r="AK8" s="24"/>
      <c r="AL8" s="22"/>
      <c r="AM8" s="22"/>
      <c r="AN8" s="24"/>
      <c r="AO8" s="25" t="n">
        <f aca="false">SUM(E8:AN8)</f>
        <v>16</v>
      </c>
      <c r="AP8" s="4"/>
      <c r="AQ8" s="26" t="s">
        <v>20</v>
      </c>
      <c r="AR8" s="27" t="s">
        <v>14</v>
      </c>
      <c r="AS8" s="27" t="n">
        <v>2416667</v>
      </c>
      <c r="AT8" s="22" t="n">
        <f aca="false">AO8-M8-U8-AC8-AK8-AN8</f>
        <v>16</v>
      </c>
      <c r="AU8" s="4"/>
      <c r="AV8" s="4"/>
      <c r="AW8" s="38"/>
    </row>
    <row r="9" s="37" customFormat="true" ht="19.5" hidden="false" customHeight="true" outlineLevel="0" collapsed="false">
      <c r="A9" s="18"/>
      <c r="B9" s="19"/>
      <c r="C9" s="28" t="s">
        <v>18</v>
      </c>
      <c r="D9" s="28"/>
      <c r="E9" s="29" t="n">
        <f aca="false">IFERROR($AS$8/209*E8*1.5,0)</f>
        <v>0</v>
      </c>
      <c r="F9" s="30" t="n">
        <f aca="false">IFERROR($AS$8/209*F8*2.5,0)</f>
        <v>231260</v>
      </c>
      <c r="G9" s="29"/>
      <c r="H9" s="29"/>
      <c r="I9" s="29"/>
      <c r="J9" s="29"/>
      <c r="K9" s="29" t="n">
        <f aca="false">IFERROR($AS$8/209*K8*1.5,0)</f>
        <v>0</v>
      </c>
      <c r="L9" s="29" t="n">
        <f aca="false">IFERROR($AS$8/209*L8*1.5,0)</f>
        <v>0</v>
      </c>
      <c r="M9" s="31"/>
      <c r="N9" s="29" t="n">
        <f aca="false">IFERROR($AS$8/209*N8*1.5,0)</f>
        <v>0</v>
      </c>
      <c r="O9" s="29" t="n">
        <f aca="false">IFERROR($AS$8/209*O8*1.5,0)</f>
        <v>0</v>
      </c>
      <c r="P9" s="29" t="n">
        <f aca="false">IFERROR($AS$8/209*P8*1.5,0)</f>
        <v>0</v>
      </c>
      <c r="Q9" s="29" t="n">
        <f aca="false">IFERROR($AS$8/209*Q8*1.5,0)</f>
        <v>0</v>
      </c>
      <c r="R9" s="29" t="n">
        <f aca="false">IFERROR($AS$8/209*R8*1.5,0)</f>
        <v>0</v>
      </c>
      <c r="S9" s="30" t="n">
        <f aca="false">IFERROR($AS$8/209*S8*1.5,0)</f>
        <v>138756</v>
      </c>
      <c r="T9" s="29" t="n">
        <f aca="false">IFERROR($AS$8/209*T8*1.5,0)</f>
        <v>0</v>
      </c>
      <c r="U9" s="31"/>
      <c r="V9" s="29" t="n">
        <f aca="false">IFERROR($AS$8/209*V8*1.5,0)</f>
        <v>0</v>
      </c>
      <c r="W9" s="29" t="n">
        <f aca="false">IFERROR($AS$8/209*W8*1.5,0)</f>
        <v>0</v>
      </c>
      <c r="X9" s="29" t="n">
        <f aca="false">IFERROR($AS$8/209*X8*1.5,0)</f>
        <v>0</v>
      </c>
      <c r="Y9" s="29" t="n">
        <f aca="false">IFERROR($AS$8/209*Y8*1.5,0)</f>
        <v>0</v>
      </c>
      <c r="Z9" s="29" t="n">
        <f aca="false">IFERROR($AS$8/209*Z8*1.5,0)</f>
        <v>0</v>
      </c>
      <c r="AA9" s="29" t="n">
        <f aca="false">IFERROR($AS$8/209*AA8*1.5,0)</f>
        <v>0</v>
      </c>
      <c r="AB9" s="29" t="n">
        <f aca="false">IFERROR($AS$8/209*AB8*1.5,0)</f>
        <v>0</v>
      </c>
      <c r="AC9" s="31"/>
      <c r="AD9" s="29" t="n">
        <f aca="false">IFERROR($AS$8/209*AD8*1.5,0)</f>
        <v>0</v>
      </c>
      <c r="AE9" s="29" t="n">
        <f aca="false">IFERROR($AS$8/209*AE8*1.5,0)</f>
        <v>0</v>
      </c>
      <c r="AF9" s="29" t="n">
        <f aca="false">IFERROR($AS$8/209*AF8*1.5,0)</f>
        <v>0</v>
      </c>
      <c r="AG9" s="29" t="n">
        <f aca="false">IFERROR($AS$8/209*AG8*1.5,0)</f>
        <v>0</v>
      </c>
      <c r="AH9" s="29" t="n">
        <f aca="false">IFERROR($AS$8/209*AH8*1.5,0)</f>
        <v>0</v>
      </c>
      <c r="AI9" s="29" t="n">
        <f aca="false">IFERROR($AS$8/209*AI8*1.5,0)</f>
        <v>0</v>
      </c>
      <c r="AJ9" s="29"/>
      <c r="AK9" s="31"/>
      <c r="AL9" s="29"/>
      <c r="AM9" s="29"/>
      <c r="AN9" s="31"/>
      <c r="AO9" s="32" t="n">
        <f aca="false">SUM(E9:AN9)</f>
        <v>370016</v>
      </c>
      <c r="AP9" s="4"/>
      <c r="AQ9" s="33"/>
      <c r="AR9" s="34" t="s">
        <v>19</v>
      </c>
      <c r="AS9" s="34" t="n">
        <f aca="false">AS8/209</f>
        <v>11563</v>
      </c>
      <c r="AT9" s="35"/>
      <c r="AU9" s="8"/>
      <c r="AV9" s="33"/>
      <c r="AW9" s="4"/>
    </row>
    <row r="10" customFormat="false" ht="19.5" hidden="false" customHeight="true" outlineLevel="0" collapsed="false">
      <c r="A10" s="4"/>
      <c r="B10" s="19" t="s">
        <v>21</v>
      </c>
      <c r="C10" s="20" t="s">
        <v>13</v>
      </c>
      <c r="D10" s="20"/>
      <c r="E10" s="21"/>
      <c r="F10" s="22" t="n">
        <v>8</v>
      </c>
      <c r="G10" s="22" t="n">
        <v>8</v>
      </c>
      <c r="H10" s="22" t="n">
        <v>8</v>
      </c>
      <c r="I10" s="22" t="n">
        <v>8</v>
      </c>
      <c r="J10" s="22" t="n">
        <v>8</v>
      </c>
      <c r="K10" s="23"/>
      <c r="L10" s="21"/>
      <c r="M10" s="24"/>
      <c r="N10" s="22" t="n">
        <v>8</v>
      </c>
      <c r="O10" s="22" t="n">
        <v>8</v>
      </c>
      <c r="P10" s="22" t="n">
        <v>8</v>
      </c>
      <c r="Q10" s="22"/>
      <c r="R10" s="22"/>
      <c r="S10" s="23"/>
      <c r="T10" s="21"/>
      <c r="U10" s="24"/>
      <c r="V10" s="22"/>
      <c r="W10" s="22"/>
      <c r="X10" s="22"/>
      <c r="Y10" s="22"/>
      <c r="Z10" s="22"/>
      <c r="AA10" s="23"/>
      <c r="AB10" s="21"/>
      <c r="AC10" s="24"/>
      <c r="AD10" s="22"/>
      <c r="AE10" s="22"/>
      <c r="AF10" s="22"/>
      <c r="AG10" s="22"/>
      <c r="AH10" s="22"/>
      <c r="AI10" s="23"/>
      <c r="AJ10" s="21"/>
      <c r="AK10" s="24"/>
      <c r="AL10" s="22"/>
      <c r="AM10" s="22"/>
      <c r="AN10" s="24"/>
      <c r="AO10" s="25" t="n">
        <f aca="false">SUM(E10:AN10)</f>
        <v>64</v>
      </c>
      <c r="AP10" s="4"/>
      <c r="AQ10" s="26" t="s">
        <v>21</v>
      </c>
      <c r="AR10" s="27" t="s">
        <v>14</v>
      </c>
      <c r="AS10" s="27" t="n">
        <v>2250000</v>
      </c>
      <c r="AT10" s="22" t="n">
        <f aca="false">AO10-M10-U10-AC10-AK10-AN10</f>
        <v>64</v>
      </c>
      <c r="AU10" s="4"/>
      <c r="AV10" s="4"/>
      <c r="AW10" s="4"/>
    </row>
    <row r="11" s="37" customFormat="true" ht="19.5" hidden="false" customHeight="true" outlineLevel="0" collapsed="false">
      <c r="A11" s="18"/>
      <c r="B11" s="19"/>
      <c r="C11" s="28" t="s">
        <v>18</v>
      </c>
      <c r="D11" s="28"/>
      <c r="E11" s="29" t="n">
        <f aca="false">IFERROR($AS$8/209*E10*1.5,0)</f>
        <v>0</v>
      </c>
      <c r="F11" s="30" t="n">
        <f aca="false">IFERROR($AS$10/209*F10*1.5,0)</f>
        <v>129186.602870813</v>
      </c>
      <c r="G11" s="29"/>
      <c r="H11" s="29"/>
      <c r="I11" s="29"/>
      <c r="J11" s="29"/>
      <c r="K11" s="29" t="n">
        <f aca="false">IFERROR($AS$8/209*K10*1.5,0)</f>
        <v>0</v>
      </c>
      <c r="L11" s="29" t="n">
        <f aca="false">IFERROR($AS$8/209*L10*1.5,0)</f>
        <v>0</v>
      </c>
      <c r="M11" s="31"/>
      <c r="N11" s="29"/>
      <c r="O11" s="29"/>
      <c r="P11" s="29"/>
      <c r="Q11" s="29" t="n">
        <f aca="false">IFERROR($AS$8/209*Q10*1.5,0)</f>
        <v>0</v>
      </c>
      <c r="R11" s="29" t="n">
        <f aca="false">IFERROR($AS$8/209*R10*1.5,0)</f>
        <v>0</v>
      </c>
      <c r="S11" s="29" t="n">
        <f aca="false">IFERROR($AS$8/209*S10*1.5,0)</f>
        <v>0</v>
      </c>
      <c r="T11" s="29" t="n">
        <f aca="false">IFERROR($AS$8/209*T10*1.5,0)</f>
        <v>0</v>
      </c>
      <c r="U11" s="31"/>
      <c r="V11" s="29" t="n">
        <f aca="false">IFERROR($AS$8/209*V10*1.5,0)</f>
        <v>0</v>
      </c>
      <c r="W11" s="29" t="n">
        <f aca="false">IFERROR($AS$8/209*W10*1.5,0)</f>
        <v>0</v>
      </c>
      <c r="X11" s="29" t="n">
        <f aca="false">IFERROR($AS$8/209*X10*1.5,0)</f>
        <v>0</v>
      </c>
      <c r="Y11" s="29" t="n">
        <f aca="false">IFERROR($AS$8/209*Y10*1.5,0)</f>
        <v>0</v>
      </c>
      <c r="Z11" s="29" t="n">
        <f aca="false">IFERROR($AS$8/209*Z10*1.5,0)</f>
        <v>0</v>
      </c>
      <c r="AA11" s="29" t="n">
        <f aca="false">IFERROR($AS$8/209*AA10*1.5,0)</f>
        <v>0</v>
      </c>
      <c r="AB11" s="29" t="n">
        <f aca="false">IFERROR($AS$8/209*AB10*1.5,0)</f>
        <v>0</v>
      </c>
      <c r="AC11" s="31"/>
      <c r="AD11" s="29" t="n">
        <f aca="false">IFERROR($AS$8/209*AD10*1.5,0)</f>
        <v>0</v>
      </c>
      <c r="AE11" s="29" t="n">
        <f aca="false">IFERROR($AS$8/209*AE10*1.5,0)</f>
        <v>0</v>
      </c>
      <c r="AF11" s="29" t="n">
        <f aca="false">IFERROR($AS$8/209*AF10*1.5,0)</f>
        <v>0</v>
      </c>
      <c r="AG11" s="29" t="n">
        <f aca="false">IFERROR($AS$8/209*AG10*1.5,0)</f>
        <v>0</v>
      </c>
      <c r="AH11" s="29" t="n">
        <f aca="false">IFERROR($AS$8/209*AH10*1.5,0)</f>
        <v>0</v>
      </c>
      <c r="AI11" s="29" t="n">
        <f aca="false">IFERROR($AS$8/209*AI10*1.5,0)</f>
        <v>0</v>
      </c>
      <c r="AJ11" s="29"/>
      <c r="AK11" s="31"/>
      <c r="AL11" s="29"/>
      <c r="AM11" s="29"/>
      <c r="AN11" s="31"/>
      <c r="AO11" s="32" t="n">
        <f aca="false">SUM(E11:AN11)</f>
        <v>129186.602870813</v>
      </c>
      <c r="AP11" s="4"/>
      <c r="AQ11" s="33"/>
      <c r="AR11" s="34" t="s">
        <v>19</v>
      </c>
      <c r="AS11" s="34" t="n">
        <f aca="false">AS10/209</f>
        <v>10765.5502392345</v>
      </c>
      <c r="AT11" s="35"/>
      <c r="AU11" s="8"/>
      <c r="AV11" s="33"/>
      <c r="AW11" s="4"/>
    </row>
    <row r="12" customFormat="false" ht="19.5" hidden="false" customHeight="true" outlineLevel="0" collapsed="false">
      <c r="A12" s="4"/>
      <c r="B12" s="19" t="s">
        <v>22</v>
      </c>
      <c r="C12" s="20" t="s">
        <v>13</v>
      </c>
      <c r="D12" s="20"/>
      <c r="E12" s="21"/>
      <c r="F12" s="22"/>
      <c r="G12" s="22"/>
      <c r="H12" s="22"/>
      <c r="I12" s="22"/>
      <c r="J12" s="22"/>
      <c r="K12" s="23"/>
      <c r="L12" s="21"/>
      <c r="M12" s="24"/>
      <c r="N12" s="22"/>
      <c r="O12" s="22"/>
      <c r="P12" s="22"/>
      <c r="Q12" s="22"/>
      <c r="R12" s="22"/>
      <c r="S12" s="23"/>
      <c r="T12" s="21"/>
      <c r="U12" s="24"/>
      <c r="V12" s="22" t="n">
        <v>8</v>
      </c>
      <c r="W12" s="22" t="n">
        <v>8</v>
      </c>
      <c r="X12" s="22" t="n">
        <v>8</v>
      </c>
      <c r="Y12" s="22" t="n">
        <v>8</v>
      </c>
      <c r="Z12" s="22" t="n">
        <v>8</v>
      </c>
      <c r="AA12" s="23"/>
      <c r="AB12" s="21"/>
      <c r="AC12" s="39" t="n">
        <f aca="false">(SUM(V12:AB12))/40*8</f>
        <v>8</v>
      </c>
      <c r="AD12" s="22" t="n">
        <v>8</v>
      </c>
      <c r="AE12" s="22" t="n">
        <v>8</v>
      </c>
      <c r="AF12" s="22" t="n">
        <v>8</v>
      </c>
      <c r="AG12" s="22" t="n">
        <v>8</v>
      </c>
      <c r="AH12" s="22" t="n">
        <v>8</v>
      </c>
      <c r="AI12" s="23"/>
      <c r="AJ12" s="21"/>
      <c r="AK12" s="39" t="n">
        <f aca="false">(SUM(AD12:AJ12))/40*8</f>
        <v>8</v>
      </c>
      <c r="AL12" s="22" t="n">
        <v>8</v>
      </c>
      <c r="AM12" s="22" t="n">
        <v>8</v>
      </c>
      <c r="AN12" s="39" t="n">
        <f aca="false">(SUM(AL12:AM12))/40*8</f>
        <v>3.2</v>
      </c>
      <c r="AO12" s="25" t="n">
        <f aca="false">SUM(E12:AN12)</f>
        <v>115.2</v>
      </c>
      <c r="AP12" s="4"/>
      <c r="AQ12" s="26" t="s">
        <v>22</v>
      </c>
      <c r="AR12" s="27" t="s">
        <v>14</v>
      </c>
      <c r="AS12" s="27" t="n">
        <v>2156880</v>
      </c>
      <c r="AT12" s="22" t="n">
        <f aca="false">AO12-M12-U12-AC12-AK12-AN12</f>
        <v>96</v>
      </c>
      <c r="AU12" s="4"/>
      <c r="AV12" s="4"/>
      <c r="AW12" s="4"/>
    </row>
    <row r="13" customFormat="false" ht="19.5" hidden="false" customHeight="true" outlineLevel="0" collapsed="false">
      <c r="A13" s="4"/>
      <c r="B13" s="19"/>
      <c r="C13" s="28" t="s">
        <v>18</v>
      </c>
      <c r="D13" s="28"/>
      <c r="E13" s="40" t="n">
        <f aca="false">IFERROR($AS$8/209*E12*1.5,0)</f>
        <v>0</v>
      </c>
      <c r="F13" s="41" t="n">
        <f aca="false">IFERROR($AS$8/209*F12*1.5,0)</f>
        <v>0</v>
      </c>
      <c r="G13" s="41"/>
      <c r="H13" s="41"/>
      <c r="I13" s="41"/>
      <c r="J13" s="41"/>
      <c r="K13" s="42" t="n">
        <f aca="false">IFERROR($AS$8/209*K12*1.5,0)</f>
        <v>0</v>
      </c>
      <c r="L13" s="40" t="n">
        <f aca="false">IFERROR($AS$8/209*L12*1.5,0)</f>
        <v>0</v>
      </c>
      <c r="M13" s="31"/>
      <c r="N13" s="41" t="n">
        <f aca="false">IFERROR($AS$8/209*N12*1.5,0)</f>
        <v>0</v>
      </c>
      <c r="O13" s="41" t="n">
        <f aca="false">IFERROR($AS$8/209*O12*1.5,0)</f>
        <v>0</v>
      </c>
      <c r="P13" s="41" t="n">
        <f aca="false">IFERROR($AS$8/209*P12*1.5,0)</f>
        <v>0</v>
      </c>
      <c r="Q13" s="41" t="n">
        <f aca="false">IFERROR($AS$8/209*Q12*1.5,0)</f>
        <v>0</v>
      </c>
      <c r="R13" s="41" t="n">
        <f aca="false">IFERROR($AS$8/209*R12*1.5,0)</f>
        <v>0</v>
      </c>
      <c r="S13" s="42" t="n">
        <f aca="false">IFERROR($AS$8/209*S12*1.5,0)</f>
        <v>0</v>
      </c>
      <c r="T13" s="40" t="n">
        <f aca="false">IFERROR($AS$8/209*T12*1.5,0)</f>
        <v>0</v>
      </c>
      <c r="U13" s="31"/>
      <c r="V13" s="41" t="n">
        <f aca="false">IFERROR($AS$12/209*V12*1,0)</f>
        <v>82560</v>
      </c>
      <c r="W13" s="41" t="n">
        <f aca="false">IFERROR($AS$12/209*W12*1,0)</f>
        <v>82560</v>
      </c>
      <c r="X13" s="41" t="n">
        <f aca="false">IFERROR($AS$12/209*X12*1,0)</f>
        <v>82560</v>
      </c>
      <c r="Y13" s="41" t="n">
        <f aca="false">IFERROR($AS$12/209*Y12*1,0)</f>
        <v>82560</v>
      </c>
      <c r="Z13" s="41" t="n">
        <f aca="false">IFERROR($AS$12/209*Z12*1,0)</f>
        <v>82560</v>
      </c>
      <c r="AA13" s="42" t="n">
        <f aca="false">IFERROR($AS$12/209*AA12*1,0)</f>
        <v>0</v>
      </c>
      <c r="AB13" s="40" t="n">
        <f aca="false">IFERROR($AS$12/209*AB12*1,0)</f>
        <v>0</v>
      </c>
      <c r="AC13" s="43" t="n">
        <f aca="false">($AS$13*AC12)</f>
        <v>82560</v>
      </c>
      <c r="AD13" s="41" t="n">
        <f aca="false">IFERROR($AS$12/209*AD12*1,0)</f>
        <v>82560</v>
      </c>
      <c r="AE13" s="41" t="n">
        <f aca="false">IFERROR($AS$12/209*AE12*1,0)</f>
        <v>82560</v>
      </c>
      <c r="AF13" s="41" t="n">
        <f aca="false">IFERROR($AS$12/209*AF12*1,0)</f>
        <v>82560</v>
      </c>
      <c r="AG13" s="41" t="n">
        <f aca="false">IFERROR($AS$12/209*AG12*1,0)</f>
        <v>82560</v>
      </c>
      <c r="AH13" s="41" t="n">
        <f aca="false">IFERROR($AS$12/209*AH12*1,0)</f>
        <v>82560</v>
      </c>
      <c r="AI13" s="42" t="n">
        <f aca="false">IFERROR($AS$12/209*AI12*1,0)</f>
        <v>0</v>
      </c>
      <c r="AJ13" s="40" t="n">
        <f aca="false">IFERROR($AS$12/209*AJ12*1,0)</f>
        <v>0</v>
      </c>
      <c r="AK13" s="43" t="n">
        <f aca="false">($AS$13*AK12)</f>
        <v>82560</v>
      </c>
      <c r="AL13" s="41" t="n">
        <f aca="false">IFERROR($AS$12/209*AL12*1,0)</f>
        <v>82560</v>
      </c>
      <c r="AM13" s="41" t="n">
        <f aca="false">IFERROR($AS$12/209*AM12*1,0)</f>
        <v>82560</v>
      </c>
      <c r="AN13" s="43" t="n">
        <f aca="false">($AS$13*AN12)</f>
        <v>33024</v>
      </c>
      <c r="AO13" s="32" t="n">
        <f aca="false">SUM(E13:AN13)</f>
        <v>1188864</v>
      </c>
      <c r="AP13" s="4"/>
      <c r="AQ13" s="4"/>
      <c r="AR13" s="44" t="s">
        <v>19</v>
      </c>
      <c r="AS13" s="44" t="n">
        <f aca="false">AS12/209</f>
        <v>10320</v>
      </c>
      <c r="AT13" s="35"/>
      <c r="AU13" s="4"/>
      <c r="AV13" s="4"/>
      <c r="AW13" s="4"/>
    </row>
    <row r="14" customFormat="false" ht="19.5" hidden="false" customHeight="true" outlineLevel="0" collapsed="false">
      <c r="A14" s="4"/>
      <c r="B14" s="19" t="s">
        <v>23</v>
      </c>
      <c r="C14" s="20" t="s">
        <v>24</v>
      </c>
      <c r="D14" s="20"/>
      <c r="E14" s="45"/>
      <c r="F14" s="45" t="n">
        <v>8</v>
      </c>
      <c r="G14" s="45" t="n">
        <v>8</v>
      </c>
      <c r="H14" s="45" t="n">
        <v>8</v>
      </c>
      <c r="I14" s="45" t="n">
        <v>8</v>
      </c>
      <c r="J14" s="45" t="n">
        <v>8</v>
      </c>
      <c r="K14" s="45"/>
      <c r="L14" s="45"/>
      <c r="M14" s="39" t="n">
        <f aca="false">(SUM(F14:L15))/40*8</f>
        <v>8</v>
      </c>
      <c r="N14" s="45" t="n">
        <v>8</v>
      </c>
      <c r="O14" s="45" t="n">
        <v>8</v>
      </c>
      <c r="P14" s="45" t="n">
        <v>8</v>
      </c>
      <c r="Q14" s="45" t="n">
        <v>8</v>
      </c>
      <c r="R14" s="45" t="n">
        <v>8</v>
      </c>
      <c r="S14" s="45" t="n">
        <v>8</v>
      </c>
      <c r="T14" s="45"/>
      <c r="U14" s="39" t="n">
        <f aca="false">(SUM(N14:T15))/40*8</f>
        <v>9.6</v>
      </c>
      <c r="V14" s="45" t="n">
        <v>8</v>
      </c>
      <c r="W14" s="45" t="n">
        <v>8</v>
      </c>
      <c r="X14" s="45" t="n">
        <v>8</v>
      </c>
      <c r="Y14" s="45" t="n">
        <v>8</v>
      </c>
      <c r="Z14" s="45" t="n">
        <v>8</v>
      </c>
      <c r="AA14" s="45"/>
      <c r="AB14" s="45"/>
      <c r="AC14" s="39" t="n">
        <f aca="false">(SUM(V14:AB15))/40*8</f>
        <v>8</v>
      </c>
      <c r="AD14" s="45" t="n">
        <v>8</v>
      </c>
      <c r="AE14" s="45" t="n">
        <v>8</v>
      </c>
      <c r="AF14" s="45" t="n">
        <v>8</v>
      </c>
      <c r="AG14" s="45" t="n">
        <v>8</v>
      </c>
      <c r="AH14" s="45" t="n">
        <v>8</v>
      </c>
      <c r="AI14" s="45"/>
      <c r="AJ14" s="45"/>
      <c r="AK14" s="39" t="n">
        <f aca="false">(SUM(AD14:AI15))/40*8</f>
        <v>8</v>
      </c>
      <c r="AL14" s="45" t="n">
        <v>8</v>
      </c>
      <c r="AM14" s="45" t="n">
        <v>8</v>
      </c>
      <c r="AN14" s="39" t="n">
        <f aca="false">(SUM(AL14:AM15))/40*8</f>
        <v>3.2</v>
      </c>
      <c r="AO14" s="25" t="n">
        <f aca="false">SUM(E14:AN14)</f>
        <v>220.8</v>
      </c>
      <c r="AP14" s="4"/>
      <c r="AQ14" s="26" t="s">
        <v>23</v>
      </c>
      <c r="AR14" s="27" t="s">
        <v>19</v>
      </c>
      <c r="AS14" s="27" t="n">
        <v>10320</v>
      </c>
      <c r="AT14" s="22" t="n">
        <f aca="false">AO14-M14-U14-AC14-AK14-AN14</f>
        <v>184</v>
      </c>
      <c r="AU14" s="4"/>
      <c r="AV14" s="4"/>
      <c r="AW14" s="4"/>
    </row>
    <row r="15" customFormat="false" ht="19.5" hidden="false" customHeight="true" outlineLevel="0" collapsed="false">
      <c r="A15" s="4"/>
      <c r="B15" s="19"/>
      <c r="C15" s="20" t="s">
        <v>13</v>
      </c>
      <c r="D15" s="20"/>
      <c r="E15" s="45"/>
      <c r="F15" s="45"/>
      <c r="G15" s="45"/>
      <c r="H15" s="45"/>
      <c r="I15" s="45"/>
      <c r="J15" s="45"/>
      <c r="K15" s="45"/>
      <c r="L15" s="45"/>
      <c r="M15" s="39"/>
      <c r="N15" s="45"/>
      <c r="O15" s="45"/>
      <c r="P15" s="45"/>
      <c r="Q15" s="45"/>
      <c r="R15" s="45"/>
      <c r="S15" s="45"/>
      <c r="T15" s="45"/>
      <c r="U15" s="39"/>
      <c r="V15" s="45"/>
      <c r="W15" s="45"/>
      <c r="X15" s="45"/>
      <c r="Y15" s="45"/>
      <c r="Z15" s="45"/>
      <c r="AA15" s="45"/>
      <c r="AB15" s="45"/>
      <c r="AC15" s="39"/>
      <c r="AD15" s="45"/>
      <c r="AE15" s="45"/>
      <c r="AF15" s="45"/>
      <c r="AG15" s="45"/>
      <c r="AH15" s="45"/>
      <c r="AI15" s="45"/>
      <c r="AJ15" s="45"/>
      <c r="AK15" s="39"/>
      <c r="AL15" s="45"/>
      <c r="AM15" s="45"/>
      <c r="AN15" s="39"/>
      <c r="AO15" s="25" t="n">
        <f aca="false">SUM(E15:AN15)</f>
        <v>0</v>
      </c>
      <c r="AP15" s="4"/>
      <c r="AQ15" s="4"/>
      <c r="AR15" s="46"/>
      <c r="AS15" s="46"/>
      <c r="AT15" s="46"/>
      <c r="AU15" s="46"/>
      <c r="AV15" s="4"/>
      <c r="AW15" s="4"/>
    </row>
    <row r="16" customFormat="false" ht="19.5" hidden="false" customHeight="true" outlineLevel="0" collapsed="false">
      <c r="A16" s="4"/>
      <c r="B16" s="19"/>
      <c r="C16" s="28" t="s">
        <v>18</v>
      </c>
      <c r="D16" s="28"/>
      <c r="E16" s="47" t="n">
        <f aca="false">($AS$14*E14)+($AS$14*E15*1.5)</f>
        <v>0</v>
      </c>
      <c r="F16" s="47" t="n">
        <f aca="false">($AS$14*F14*2.5)+($AS$14*F15*3)</f>
        <v>206400</v>
      </c>
      <c r="G16" s="47" t="n">
        <f aca="false">($AS$14*G14)+($AS$14*G15*1.5)</f>
        <v>82560</v>
      </c>
      <c r="H16" s="47" t="n">
        <f aca="false">($AS$14*H14)+($AS$14*H15*1.5)</f>
        <v>82560</v>
      </c>
      <c r="I16" s="47" t="n">
        <f aca="false">($AS$14*I14)+($AS$14*I15*1.5)</f>
        <v>82560</v>
      </c>
      <c r="J16" s="47" t="n">
        <f aca="false">($AS$14*J14)+($AS$14*J15*1.5)</f>
        <v>82560</v>
      </c>
      <c r="K16" s="47" t="n">
        <f aca="false">($AS$14*K14)+($AS$14*K15*1.5)</f>
        <v>0</v>
      </c>
      <c r="L16" s="47" t="n">
        <f aca="false">($AS$14*L14)+($AS$14*L15*1.5)</f>
        <v>0</v>
      </c>
      <c r="M16" s="43" t="n">
        <f aca="false">($AS$14*M14)</f>
        <v>82560</v>
      </c>
      <c r="N16" s="47" t="n">
        <f aca="false">($AS$14*N14)+($AS$14*N15*1.5)</f>
        <v>82560</v>
      </c>
      <c r="O16" s="47" t="n">
        <f aca="false">($AS$14*O14)+($AS$14*O15*1.5)</f>
        <v>82560</v>
      </c>
      <c r="P16" s="47" t="n">
        <f aca="false">($AS$14*P14)+($AS$14*P15*1.5)</f>
        <v>82560</v>
      </c>
      <c r="Q16" s="47" t="n">
        <f aca="false">($AS$14*Q14)+($AS$14*Q15*1.5)</f>
        <v>82560</v>
      </c>
      <c r="R16" s="47" t="n">
        <f aca="false">($AS$14*R14)+($AS$14*R15*1.5)</f>
        <v>82560</v>
      </c>
      <c r="S16" s="47" t="n">
        <f aca="false">($AS$14*S14)+($AS$14*S15*1.5)</f>
        <v>82560</v>
      </c>
      <c r="T16" s="47" t="n">
        <f aca="false">($AS$14*T14)+($AS$14*T15*1.5)</f>
        <v>0</v>
      </c>
      <c r="U16" s="43" t="n">
        <f aca="false">($AS$14*U14)</f>
        <v>99072</v>
      </c>
      <c r="V16" s="47" t="n">
        <f aca="false">($AS$14*V14)+($AS$14*V15*1.5)</f>
        <v>82560</v>
      </c>
      <c r="W16" s="47" t="n">
        <f aca="false">($AS$14*W14)+($AS$14*W15*1.5)</f>
        <v>82560</v>
      </c>
      <c r="X16" s="47" t="n">
        <f aca="false">($AS$14*X14)+($AS$14*X15*1.5)</f>
        <v>82560</v>
      </c>
      <c r="Y16" s="47" t="n">
        <f aca="false">($AS$14*Y14)+($AS$14*Y15*1.5)</f>
        <v>82560</v>
      </c>
      <c r="Z16" s="47" t="n">
        <f aca="false">($AS$14*Z14)+($AS$14*Z15*1.5)</f>
        <v>82560</v>
      </c>
      <c r="AA16" s="47" t="n">
        <f aca="false">($AS$14*AA14)+($AS$14*AA15*1.5)</f>
        <v>0</v>
      </c>
      <c r="AB16" s="47" t="n">
        <f aca="false">($AS$14*AB14)+($AS$14*AB15*1.5)</f>
        <v>0</v>
      </c>
      <c r="AC16" s="43" t="n">
        <f aca="false">($AS$14*AC14)</f>
        <v>82560</v>
      </c>
      <c r="AD16" s="47" t="n">
        <f aca="false">($AS$14*AD14)+($AS$14*AD15*1.5)</f>
        <v>82560</v>
      </c>
      <c r="AE16" s="47" t="n">
        <f aca="false">($AS$14*AE14)+($AS$14*AE15*1.5)</f>
        <v>82560</v>
      </c>
      <c r="AF16" s="47" t="n">
        <f aca="false">($AS$14*AF14)+($AS$14*AF15*1.5)</f>
        <v>82560</v>
      </c>
      <c r="AG16" s="47" t="n">
        <f aca="false">($AS$14*AG14)+($AS$14*AG15*1.5)</f>
        <v>82560</v>
      </c>
      <c r="AH16" s="47" t="n">
        <f aca="false">($AS$14*AH14)+($AS$14*AH15*1.5)</f>
        <v>82560</v>
      </c>
      <c r="AI16" s="47" t="n">
        <f aca="false">($AS$14*AI14)+($AS$14*AI15*1.5)</f>
        <v>0</v>
      </c>
      <c r="AJ16" s="47" t="n">
        <f aca="false">($AS$14*AJ14)+($AS$14*AJ15*1.5)</f>
        <v>0</v>
      </c>
      <c r="AK16" s="43" t="n">
        <f aca="false">($AS$14*AK14)</f>
        <v>82560</v>
      </c>
      <c r="AL16" s="47" t="n">
        <f aca="false">($AS$14*AL14)+($AS$14*AL15*1.5)</f>
        <v>82560</v>
      </c>
      <c r="AM16" s="47" t="n">
        <f aca="false">($AS$14*AM14)+($AS$14*AM15*1.5)</f>
        <v>82560</v>
      </c>
      <c r="AN16" s="43" t="n">
        <f aca="false">($AS$14*AN14)</f>
        <v>33024</v>
      </c>
      <c r="AO16" s="32" t="n">
        <f aca="false">SUM(E16:AN16)</f>
        <v>2402496</v>
      </c>
      <c r="AP16" s="4"/>
      <c r="AQ16" s="4"/>
      <c r="AR16" s="46"/>
      <c r="AS16" s="46"/>
      <c r="AT16" s="46"/>
      <c r="AU16" s="46"/>
      <c r="AV16" s="4"/>
      <c r="AW16" s="4"/>
    </row>
    <row r="17" customFormat="false" ht="19.5" hidden="false" customHeight="true" outlineLevel="0" collapsed="false">
      <c r="A17" s="4"/>
      <c r="B17" s="19" t="s">
        <v>25</v>
      </c>
      <c r="C17" s="20" t="s">
        <v>24</v>
      </c>
      <c r="D17" s="20"/>
      <c r="E17" s="45"/>
      <c r="F17" s="45" t="n">
        <v>8</v>
      </c>
      <c r="G17" s="45" t="n">
        <v>8</v>
      </c>
      <c r="H17" s="45" t="n">
        <v>8</v>
      </c>
      <c r="I17" s="45" t="n">
        <v>8</v>
      </c>
      <c r="J17" s="45" t="n">
        <v>8</v>
      </c>
      <c r="K17" s="45"/>
      <c r="L17" s="45"/>
      <c r="M17" s="39" t="n">
        <f aca="false">(SUM(F17:L18))/40*8</f>
        <v>8</v>
      </c>
      <c r="N17" s="45" t="n">
        <v>8</v>
      </c>
      <c r="O17" s="45" t="n">
        <v>8</v>
      </c>
      <c r="P17" s="45" t="n">
        <v>8</v>
      </c>
      <c r="Q17" s="45"/>
      <c r="R17" s="45" t="n">
        <v>8</v>
      </c>
      <c r="S17" s="45" t="n">
        <v>8</v>
      </c>
      <c r="T17" s="45"/>
      <c r="U17" s="39" t="n">
        <f aca="false">(SUM(N17:T18))/40*8</f>
        <v>8</v>
      </c>
      <c r="V17" s="45" t="n">
        <v>8</v>
      </c>
      <c r="W17" s="45" t="n">
        <v>8</v>
      </c>
      <c r="X17" s="45" t="n">
        <v>8</v>
      </c>
      <c r="Y17" s="45" t="n">
        <v>8</v>
      </c>
      <c r="Z17" s="45" t="n">
        <v>8</v>
      </c>
      <c r="AA17" s="45"/>
      <c r="AB17" s="45"/>
      <c r="AC17" s="39" t="n">
        <f aca="false">(SUM(V17:AB18))/40*8</f>
        <v>8</v>
      </c>
      <c r="AD17" s="45" t="n">
        <v>8</v>
      </c>
      <c r="AE17" s="45" t="n">
        <v>8</v>
      </c>
      <c r="AF17" s="45"/>
      <c r="AG17" s="45"/>
      <c r="AH17" s="45"/>
      <c r="AI17" s="45"/>
      <c r="AJ17" s="45"/>
      <c r="AK17" s="39" t="n">
        <f aca="false">(SUM(AD17:AI18))/40*8</f>
        <v>3.2</v>
      </c>
      <c r="AL17" s="45"/>
      <c r="AM17" s="45"/>
      <c r="AN17" s="39" t="n">
        <f aca="false">(SUM(AL17:AM18))/40*8</f>
        <v>0</v>
      </c>
      <c r="AO17" s="25" t="n">
        <f aca="false">SUM(E17:AN17)</f>
        <v>163.2</v>
      </c>
      <c r="AP17" s="4"/>
      <c r="AQ17" s="26" t="s">
        <v>25</v>
      </c>
      <c r="AR17" s="27" t="s">
        <v>19</v>
      </c>
      <c r="AS17" s="27" t="n">
        <v>10320</v>
      </c>
      <c r="AT17" s="22" t="n">
        <f aca="false">AO17-M17-U17-AC17-AK17-AN17</f>
        <v>136</v>
      </c>
      <c r="AU17" s="4"/>
      <c r="AV17" s="4"/>
      <c r="AW17" s="4"/>
    </row>
    <row r="18" customFormat="false" ht="19.5" hidden="false" customHeight="true" outlineLevel="0" collapsed="false">
      <c r="A18" s="4"/>
      <c r="B18" s="19"/>
      <c r="C18" s="20" t="s">
        <v>13</v>
      </c>
      <c r="D18" s="20"/>
      <c r="E18" s="45"/>
      <c r="F18" s="45"/>
      <c r="G18" s="45"/>
      <c r="H18" s="45"/>
      <c r="I18" s="45"/>
      <c r="J18" s="45"/>
      <c r="K18" s="45"/>
      <c r="L18" s="45"/>
      <c r="M18" s="39"/>
      <c r="N18" s="45"/>
      <c r="O18" s="45"/>
      <c r="P18" s="45"/>
      <c r="Q18" s="45"/>
      <c r="R18" s="45"/>
      <c r="S18" s="45"/>
      <c r="T18" s="45"/>
      <c r="U18" s="39"/>
      <c r="V18" s="45"/>
      <c r="W18" s="45"/>
      <c r="X18" s="45"/>
      <c r="Y18" s="45"/>
      <c r="Z18" s="45"/>
      <c r="AA18" s="45"/>
      <c r="AB18" s="45"/>
      <c r="AC18" s="39"/>
      <c r="AD18" s="45"/>
      <c r="AE18" s="45"/>
      <c r="AF18" s="45"/>
      <c r="AG18" s="45"/>
      <c r="AH18" s="45"/>
      <c r="AI18" s="45"/>
      <c r="AJ18" s="45"/>
      <c r="AK18" s="39"/>
      <c r="AL18" s="45"/>
      <c r="AM18" s="45"/>
      <c r="AN18" s="39"/>
      <c r="AO18" s="25" t="n">
        <f aca="false">SUM(E18:AN18)</f>
        <v>0</v>
      </c>
      <c r="AP18" s="4"/>
      <c r="AQ18" s="4"/>
      <c r="AR18" s="46"/>
      <c r="AS18" s="46"/>
      <c r="AT18" s="46"/>
      <c r="AU18" s="46"/>
      <c r="AV18" s="4"/>
      <c r="AW18" s="4"/>
    </row>
    <row r="19" customFormat="false" ht="19.5" hidden="false" customHeight="true" outlineLevel="0" collapsed="false">
      <c r="A19" s="4"/>
      <c r="B19" s="19"/>
      <c r="C19" s="28" t="s">
        <v>18</v>
      </c>
      <c r="D19" s="28"/>
      <c r="E19" s="47" t="n">
        <f aca="false">($AS$17*E17)+($AS$17*E18*1.5)</f>
        <v>0</v>
      </c>
      <c r="F19" s="47" t="n">
        <f aca="false">($AS$17*F17*2.5)+($AS$17*F18*3)</f>
        <v>206400</v>
      </c>
      <c r="G19" s="47" t="n">
        <f aca="false">($AS$17*G17)+($AS$17*G18*1.5)</f>
        <v>82560</v>
      </c>
      <c r="H19" s="47" t="n">
        <f aca="false">($AS$17*H17)+($AS$17*H18*1.5)</f>
        <v>82560</v>
      </c>
      <c r="I19" s="47" t="n">
        <f aca="false">($AS$17*I17)+($AS$17*I18*1.5)</f>
        <v>82560</v>
      </c>
      <c r="J19" s="47" t="n">
        <f aca="false">($AS$17*J17)+($AS$17*J18*1.5)</f>
        <v>82560</v>
      </c>
      <c r="K19" s="47" t="n">
        <f aca="false">($AS$17*K17)+($AS$17*K18*1.5)</f>
        <v>0</v>
      </c>
      <c r="L19" s="47" t="n">
        <f aca="false">($AS$17*L17)+($AS$17*L18*1.5)</f>
        <v>0</v>
      </c>
      <c r="M19" s="43" t="n">
        <f aca="false">($AS$17*M17)</f>
        <v>82560</v>
      </c>
      <c r="N19" s="47" t="n">
        <f aca="false">($AS$17*N17)+($AS$17*N18*1.5)</f>
        <v>82560</v>
      </c>
      <c r="O19" s="47" t="n">
        <f aca="false">($AS$17*O17)+($AS$17*O18*1.5)</f>
        <v>82560</v>
      </c>
      <c r="P19" s="47" t="n">
        <f aca="false">($AS$17*P17)+($AS$17*P18*1.5)</f>
        <v>82560</v>
      </c>
      <c r="Q19" s="47" t="n">
        <f aca="false">($AS$17*Q17)+($AS$17*Q18*1.5)</f>
        <v>0</v>
      </c>
      <c r="R19" s="47" t="n">
        <f aca="false">($AS$17*R17)+($AS$17*R18*1.5)</f>
        <v>82560</v>
      </c>
      <c r="S19" s="47" t="n">
        <f aca="false">($AS$17*S17)+($AS$17*S18*1.5)</f>
        <v>82560</v>
      </c>
      <c r="T19" s="47" t="n">
        <f aca="false">($AS$17*T17)+($AS$17*T18*1.5)</f>
        <v>0</v>
      </c>
      <c r="U19" s="43" t="n">
        <f aca="false">($AS$17*U17)</f>
        <v>82560</v>
      </c>
      <c r="V19" s="47" t="n">
        <f aca="false">($AS$17*V17)+($AS$17*V18*1.5)</f>
        <v>82560</v>
      </c>
      <c r="W19" s="47" t="n">
        <f aca="false">($AS$17*W17)+($AS$17*W18*1.5)</f>
        <v>82560</v>
      </c>
      <c r="X19" s="47" t="n">
        <f aca="false">($AS$17*X17)+($AS$17*X18*1.5)</f>
        <v>82560</v>
      </c>
      <c r="Y19" s="47" t="n">
        <f aca="false">($AS$17*Y17)+($AS$17*Y18*1.5)</f>
        <v>82560</v>
      </c>
      <c r="Z19" s="47" t="n">
        <f aca="false">($AS$17*Z17)+($AS$17*Z18*1.5)</f>
        <v>82560</v>
      </c>
      <c r="AA19" s="47" t="n">
        <f aca="false">($AS$17*AA17)+($AS$17*AA18*1.5)</f>
        <v>0</v>
      </c>
      <c r="AB19" s="47" t="n">
        <f aca="false">($AS$17*AB17)+($AS$17*AB18*1.5)</f>
        <v>0</v>
      </c>
      <c r="AC19" s="43" t="n">
        <f aca="false">($AS$17*AC17)</f>
        <v>82560</v>
      </c>
      <c r="AD19" s="47" t="n">
        <f aca="false">($AS$17*AD17)+($AS$17*AD18*1.5)</f>
        <v>82560</v>
      </c>
      <c r="AE19" s="47" t="n">
        <f aca="false">($AS$17*AE17)+($AS$17*AE18*1.5)</f>
        <v>82560</v>
      </c>
      <c r="AF19" s="47" t="n">
        <f aca="false">($AS$17*AF17)+($AS$17*AF18*1.5)</f>
        <v>0</v>
      </c>
      <c r="AG19" s="47" t="n">
        <f aca="false">($AS$17*AG17)+($AS$17*AG18*1.5)</f>
        <v>0</v>
      </c>
      <c r="AH19" s="47" t="n">
        <f aca="false">($AS$17*AH17)+($AS$17*AH18*1.5)</f>
        <v>0</v>
      </c>
      <c r="AI19" s="47" t="n">
        <f aca="false">($AS$17*AI17)+($AS$17*AI18*1.5)</f>
        <v>0</v>
      </c>
      <c r="AJ19" s="47" t="n">
        <f aca="false">($AS$17*AJ17)+($AS$17*AJ18*1.5)</f>
        <v>0</v>
      </c>
      <c r="AK19" s="43" t="n">
        <f aca="false">($AS$17*AK17)</f>
        <v>33024</v>
      </c>
      <c r="AL19" s="47" t="n">
        <f aca="false">($AS$17*AL17)+($AS$17*AL18*1.5)</f>
        <v>0</v>
      </c>
      <c r="AM19" s="47" t="n">
        <f aca="false">($AS$17*AM17)+($AS$17*AM18*1.5)</f>
        <v>0</v>
      </c>
      <c r="AN19" s="43" t="n">
        <f aca="false">($AS$17*AN17)</f>
        <v>0</v>
      </c>
      <c r="AO19" s="32" t="n">
        <f aca="false">SUM(E19:AN19)</f>
        <v>1808064</v>
      </c>
      <c r="AP19" s="4"/>
      <c r="AQ19" s="4"/>
      <c r="AR19" s="46"/>
      <c r="AS19" s="46"/>
      <c r="AT19" s="46"/>
      <c r="AU19" s="46"/>
      <c r="AV19" s="4"/>
      <c r="AW19" s="4"/>
    </row>
    <row r="20" customFormat="false" ht="19.5" hidden="false" customHeight="true" outlineLevel="0" collapsed="false">
      <c r="A20" s="4"/>
      <c r="B20" s="19" t="s">
        <v>26</v>
      </c>
      <c r="C20" s="20" t="s">
        <v>24</v>
      </c>
      <c r="D20" s="20"/>
      <c r="E20" s="45"/>
      <c r="F20" s="45" t="n">
        <v>8</v>
      </c>
      <c r="G20" s="45" t="n">
        <v>8</v>
      </c>
      <c r="H20" s="45" t="n">
        <v>8</v>
      </c>
      <c r="I20" s="45" t="n">
        <v>8</v>
      </c>
      <c r="J20" s="45"/>
      <c r="K20" s="45"/>
      <c r="L20" s="45"/>
      <c r="M20" s="39" t="n">
        <f aca="false">(SUM(F20:L21))/40*8</f>
        <v>6.4</v>
      </c>
      <c r="N20" s="45" t="n">
        <v>8</v>
      </c>
      <c r="O20" s="45"/>
      <c r="P20" s="45" t="n">
        <v>8</v>
      </c>
      <c r="Q20" s="45" t="n">
        <v>8</v>
      </c>
      <c r="R20" s="45" t="n">
        <v>8</v>
      </c>
      <c r="S20" s="45" t="n">
        <v>8</v>
      </c>
      <c r="T20" s="45"/>
      <c r="U20" s="39" t="n">
        <f aca="false">(SUM(N20:T21))/40*8</f>
        <v>8</v>
      </c>
      <c r="V20" s="45" t="n">
        <v>8</v>
      </c>
      <c r="W20" s="45" t="n">
        <v>8</v>
      </c>
      <c r="X20" s="45" t="n">
        <v>8</v>
      </c>
      <c r="Y20" s="45" t="n">
        <v>8</v>
      </c>
      <c r="Z20" s="45" t="n">
        <v>8</v>
      </c>
      <c r="AA20" s="45"/>
      <c r="AB20" s="45"/>
      <c r="AC20" s="39" t="n">
        <f aca="false">(SUM(V20:AB21))/40*8</f>
        <v>8</v>
      </c>
      <c r="AD20" s="45" t="n">
        <v>8</v>
      </c>
      <c r="AE20" s="45"/>
      <c r="AF20" s="45"/>
      <c r="AG20" s="45"/>
      <c r="AH20" s="45"/>
      <c r="AI20" s="45"/>
      <c r="AJ20" s="45"/>
      <c r="AK20" s="39"/>
      <c r="AL20" s="45"/>
      <c r="AM20" s="45"/>
      <c r="AN20" s="39" t="n">
        <f aca="false">(SUM(AL20:AM21))/40*8</f>
        <v>0</v>
      </c>
      <c r="AO20" s="25" t="n">
        <f aca="false">SUM(E20:AN20)</f>
        <v>142.4</v>
      </c>
      <c r="AP20" s="4"/>
      <c r="AQ20" s="26" t="s">
        <v>26</v>
      </c>
      <c r="AR20" s="27" t="s">
        <v>19</v>
      </c>
      <c r="AS20" s="27" t="n">
        <v>10320</v>
      </c>
      <c r="AT20" s="22" t="n">
        <f aca="false">AO20-M20-U20-AC20-AK20-AN20</f>
        <v>120</v>
      </c>
      <c r="AU20" s="4"/>
      <c r="AV20" s="4"/>
      <c r="AW20" s="4"/>
    </row>
    <row r="21" customFormat="false" ht="19.5" hidden="false" customHeight="true" outlineLevel="0" collapsed="false">
      <c r="A21" s="4"/>
      <c r="B21" s="19"/>
      <c r="C21" s="20" t="s">
        <v>13</v>
      </c>
      <c r="D21" s="20"/>
      <c r="E21" s="45"/>
      <c r="F21" s="45"/>
      <c r="G21" s="45"/>
      <c r="H21" s="45"/>
      <c r="I21" s="45"/>
      <c r="J21" s="45"/>
      <c r="K21" s="45"/>
      <c r="L21" s="45"/>
      <c r="M21" s="39"/>
      <c r="N21" s="45"/>
      <c r="O21" s="45"/>
      <c r="P21" s="45"/>
      <c r="Q21" s="45"/>
      <c r="R21" s="45"/>
      <c r="S21" s="45"/>
      <c r="T21" s="45"/>
      <c r="U21" s="39"/>
      <c r="V21" s="45"/>
      <c r="W21" s="45"/>
      <c r="X21" s="45"/>
      <c r="Y21" s="45"/>
      <c r="Z21" s="45"/>
      <c r="AA21" s="45"/>
      <c r="AB21" s="45"/>
      <c r="AC21" s="39"/>
      <c r="AD21" s="45"/>
      <c r="AE21" s="45"/>
      <c r="AF21" s="45"/>
      <c r="AG21" s="45"/>
      <c r="AH21" s="45"/>
      <c r="AI21" s="45"/>
      <c r="AJ21" s="45"/>
      <c r="AK21" s="39"/>
      <c r="AL21" s="45"/>
      <c r="AM21" s="45"/>
      <c r="AN21" s="39"/>
      <c r="AO21" s="25" t="n">
        <f aca="false">SUM(E21:AN21)</f>
        <v>0</v>
      </c>
      <c r="AP21" s="4"/>
      <c r="AQ21" s="4"/>
      <c r="AR21" s="46"/>
      <c r="AS21" s="46"/>
      <c r="AT21" s="46"/>
      <c r="AU21" s="46"/>
      <c r="AV21" s="4"/>
      <c r="AW21" s="4"/>
    </row>
    <row r="22" customFormat="false" ht="19.5" hidden="false" customHeight="true" outlineLevel="0" collapsed="false">
      <c r="A22" s="4"/>
      <c r="B22" s="19"/>
      <c r="C22" s="28" t="s">
        <v>18</v>
      </c>
      <c r="D22" s="28"/>
      <c r="E22" s="47" t="n">
        <f aca="false">($AS$20*E20)+($AS$20*E21*1.5)</f>
        <v>0</v>
      </c>
      <c r="F22" s="47" t="n">
        <f aca="false">($AS$20*F20*2.5)+($AS$20*F21*3)</f>
        <v>206400</v>
      </c>
      <c r="G22" s="47" t="n">
        <f aca="false">($AS$20*G20)+($AS$20*G21*1.5)</f>
        <v>82560</v>
      </c>
      <c r="H22" s="47" t="n">
        <f aca="false">($AS$20*H20)+($AS$20*H21*1.5)</f>
        <v>82560</v>
      </c>
      <c r="I22" s="47" t="n">
        <f aca="false">($AS$20*I20)+($AS$20*I21*1.5)</f>
        <v>82560</v>
      </c>
      <c r="J22" s="47" t="n">
        <f aca="false">($AS$20*J20)+($AS$20*J21*1.5)</f>
        <v>0</v>
      </c>
      <c r="K22" s="47" t="n">
        <f aca="false">($AS$20*K20)+($AS$20*K21*1.5)</f>
        <v>0</v>
      </c>
      <c r="L22" s="47" t="n">
        <f aca="false">($AS$20*L20)+($AS$20*L21*1.5)</f>
        <v>0</v>
      </c>
      <c r="M22" s="43" t="n">
        <f aca="false">($AS$20*M20)</f>
        <v>66048</v>
      </c>
      <c r="N22" s="47" t="n">
        <f aca="false">($AS$20*N20)+($AS$20*N21*1.5)</f>
        <v>82560</v>
      </c>
      <c r="O22" s="47" t="n">
        <f aca="false">($AS$20*O20)+($AS$20*O21*1.5)</f>
        <v>0</v>
      </c>
      <c r="P22" s="47" t="n">
        <f aca="false">($AS$20*P20)+($AS$20*P21*1.5)</f>
        <v>82560</v>
      </c>
      <c r="Q22" s="47" t="n">
        <f aca="false">($AS$20*Q20)+($AS$20*Q21*1.5)</f>
        <v>82560</v>
      </c>
      <c r="R22" s="47" t="n">
        <f aca="false">($AS$20*R20)+($AS$20*R21*1.5)</f>
        <v>82560</v>
      </c>
      <c r="S22" s="47" t="n">
        <f aca="false">($AS$20*S20)+($AS$20*S21*1.5)</f>
        <v>82560</v>
      </c>
      <c r="T22" s="47" t="n">
        <f aca="false">($AS$20*T20)+($AS$20*T21*1.5)</f>
        <v>0</v>
      </c>
      <c r="U22" s="43" t="n">
        <f aca="false">($AS$20*U20)</f>
        <v>82560</v>
      </c>
      <c r="V22" s="47" t="n">
        <f aca="false">($AS$20*V20)+($AS$20*V21*1.5)</f>
        <v>82560</v>
      </c>
      <c r="W22" s="47" t="n">
        <f aca="false">($AS$20*W20)+($AS$20*W21*1.5)</f>
        <v>82560</v>
      </c>
      <c r="X22" s="47" t="n">
        <f aca="false">($AS$20*X20)+($AS$20*X21*1.5)</f>
        <v>82560</v>
      </c>
      <c r="Y22" s="47" t="n">
        <f aca="false">($AS$20*Y20)+($AS$20*Y21*1.5)</f>
        <v>82560</v>
      </c>
      <c r="Z22" s="47" t="n">
        <f aca="false">($AS$20*Z20)+($AS$20*Z21*1.5)</f>
        <v>82560</v>
      </c>
      <c r="AA22" s="47" t="n">
        <f aca="false">($AS$20*AA20)+($AS$20*AA21*1.5)</f>
        <v>0</v>
      </c>
      <c r="AB22" s="47" t="n">
        <f aca="false">($AS$20*AB20)+($AS$20*AB21*1.5)</f>
        <v>0</v>
      </c>
      <c r="AC22" s="43" t="n">
        <f aca="false">($AS$20*AC20)</f>
        <v>82560</v>
      </c>
      <c r="AD22" s="47" t="n">
        <f aca="false">($AS$20*AD20)+($AS$20*AD21*1.5)</f>
        <v>82560</v>
      </c>
      <c r="AE22" s="47" t="n">
        <f aca="false">($AS$20*AE20)+($AS$20*AE21*1.5)</f>
        <v>0</v>
      </c>
      <c r="AF22" s="47" t="n">
        <f aca="false">($AS$20*AF20)+($AS$20*AF21*1.5)</f>
        <v>0</v>
      </c>
      <c r="AG22" s="47" t="n">
        <f aca="false">($AS$20*AG20)+($AS$20*AG21*1.5)</f>
        <v>0</v>
      </c>
      <c r="AH22" s="47" t="n">
        <f aca="false">($AS$20*AH20)+($AS$20*AH21*1.5)</f>
        <v>0</v>
      </c>
      <c r="AI22" s="47" t="n">
        <f aca="false">($AS$20*AI20)+($AS$20*AI21*1.5)</f>
        <v>0</v>
      </c>
      <c r="AJ22" s="47" t="n">
        <f aca="false">($AS$20*AJ20)+($AS$20*AJ21*1.5)</f>
        <v>0</v>
      </c>
      <c r="AK22" s="43" t="n">
        <f aca="false">($AS$20*AK20)</f>
        <v>0</v>
      </c>
      <c r="AL22" s="47" t="n">
        <f aca="false">($AS$20*AL20)+($AS$20*AL21*1.5)</f>
        <v>0</v>
      </c>
      <c r="AM22" s="47" t="n">
        <f aca="false">($AS$20*AM20)+($AS$20*AM21*1.5)</f>
        <v>0</v>
      </c>
      <c r="AN22" s="43" t="n">
        <f aca="false">($AS$20*AN20)</f>
        <v>0</v>
      </c>
      <c r="AO22" s="32" t="n">
        <f aca="false">SUM(E22:AN22)</f>
        <v>1593408</v>
      </c>
      <c r="AP22" s="4"/>
      <c r="AQ22" s="4"/>
      <c r="AR22" s="46"/>
      <c r="AS22" s="46"/>
      <c r="AT22" s="46"/>
      <c r="AU22" s="46"/>
      <c r="AV22" s="4"/>
      <c r="AW22" s="4"/>
    </row>
    <row r="23" customFormat="false" ht="19.5" hidden="false" customHeight="true" outlineLevel="0" collapsed="false">
      <c r="A23" s="4"/>
      <c r="B23" s="19" t="s">
        <v>27</v>
      </c>
      <c r="C23" s="20" t="s">
        <v>24</v>
      </c>
      <c r="D23" s="20"/>
      <c r="E23" s="45"/>
      <c r="F23" s="45" t="n">
        <v>8</v>
      </c>
      <c r="G23" s="45"/>
      <c r="H23" s="45"/>
      <c r="I23" s="45"/>
      <c r="J23" s="45" t="n">
        <v>8</v>
      </c>
      <c r="K23" s="45"/>
      <c r="L23" s="45"/>
      <c r="M23" s="39" t="n">
        <f aca="false">(SUM(F23:L24))/40*8</f>
        <v>3.2</v>
      </c>
      <c r="N23" s="45"/>
      <c r="O23" s="45"/>
      <c r="P23" s="45"/>
      <c r="Q23" s="45"/>
      <c r="R23" s="45"/>
      <c r="S23" s="45" t="n">
        <v>8</v>
      </c>
      <c r="T23" s="45"/>
      <c r="U23" s="39"/>
      <c r="V23" s="45"/>
      <c r="W23" s="45"/>
      <c r="X23" s="45"/>
      <c r="Y23" s="45"/>
      <c r="Z23" s="45"/>
      <c r="AA23" s="45"/>
      <c r="AB23" s="45"/>
      <c r="AC23" s="39"/>
      <c r="AD23" s="45"/>
      <c r="AE23" s="45"/>
      <c r="AF23" s="45"/>
      <c r="AG23" s="45"/>
      <c r="AH23" s="45"/>
      <c r="AI23" s="45"/>
      <c r="AJ23" s="45"/>
      <c r="AK23" s="39"/>
      <c r="AL23" s="45"/>
      <c r="AM23" s="45"/>
      <c r="AN23" s="39" t="n">
        <f aca="false">(SUM(AL23:AM24))/40*8</f>
        <v>0</v>
      </c>
      <c r="AO23" s="25" t="n">
        <f aca="false">SUM(E23:AN23)</f>
        <v>27.2</v>
      </c>
      <c r="AP23" s="4"/>
      <c r="AQ23" s="26" t="s">
        <v>27</v>
      </c>
      <c r="AR23" s="27" t="s">
        <v>19</v>
      </c>
      <c r="AS23" s="27" t="n">
        <v>10320</v>
      </c>
      <c r="AT23" s="22" t="n">
        <f aca="false">AO23-M23-U23-AC23-AK23-AN23</f>
        <v>24</v>
      </c>
      <c r="AU23" s="4"/>
      <c r="AV23" s="4"/>
      <c r="AW23" s="4"/>
    </row>
    <row r="24" customFormat="false" ht="19.5" hidden="false" customHeight="true" outlineLevel="0" collapsed="false">
      <c r="A24" s="4"/>
      <c r="B24" s="19"/>
      <c r="C24" s="20" t="s">
        <v>13</v>
      </c>
      <c r="D24" s="20"/>
      <c r="E24" s="45"/>
      <c r="F24" s="45"/>
      <c r="G24" s="45"/>
      <c r="H24" s="45"/>
      <c r="I24" s="45"/>
      <c r="J24" s="45"/>
      <c r="K24" s="45"/>
      <c r="L24" s="45"/>
      <c r="M24" s="39"/>
      <c r="N24" s="45"/>
      <c r="O24" s="45"/>
      <c r="P24" s="45"/>
      <c r="Q24" s="45"/>
      <c r="R24" s="45"/>
      <c r="S24" s="45"/>
      <c r="T24" s="45"/>
      <c r="U24" s="39"/>
      <c r="V24" s="45"/>
      <c r="W24" s="45"/>
      <c r="X24" s="45"/>
      <c r="Y24" s="45"/>
      <c r="Z24" s="45"/>
      <c r="AA24" s="45"/>
      <c r="AB24" s="45"/>
      <c r="AC24" s="39"/>
      <c r="AD24" s="45"/>
      <c r="AE24" s="45"/>
      <c r="AF24" s="45"/>
      <c r="AG24" s="45"/>
      <c r="AH24" s="45"/>
      <c r="AI24" s="45"/>
      <c r="AJ24" s="45"/>
      <c r="AK24" s="39"/>
      <c r="AL24" s="45"/>
      <c r="AM24" s="45"/>
      <c r="AN24" s="39"/>
      <c r="AO24" s="25" t="n">
        <f aca="false">SUM(E24:AN24)</f>
        <v>0</v>
      </c>
      <c r="AP24" s="4"/>
      <c r="AQ24" s="4"/>
      <c r="AR24" s="46"/>
      <c r="AS24" s="46"/>
      <c r="AT24" s="46"/>
      <c r="AU24" s="46"/>
      <c r="AV24" s="4"/>
      <c r="AW24" s="4"/>
    </row>
    <row r="25" customFormat="false" ht="19.5" hidden="false" customHeight="true" outlineLevel="0" collapsed="false">
      <c r="A25" s="4"/>
      <c r="B25" s="19"/>
      <c r="C25" s="28" t="s">
        <v>18</v>
      </c>
      <c r="D25" s="28"/>
      <c r="E25" s="47" t="n">
        <f aca="false">($AS$23*E23)+($AS$23*E24*1.5)</f>
        <v>0</v>
      </c>
      <c r="F25" s="47" t="n">
        <f aca="false">($AS$23*F23*2.5)+($AS$23*F24*3)</f>
        <v>206400</v>
      </c>
      <c r="G25" s="47" t="n">
        <f aca="false">($AS$23*G23)+($AS$23*G24*1.5)</f>
        <v>0</v>
      </c>
      <c r="H25" s="47" t="n">
        <f aca="false">($AS$23*H23)+($AS$23*H24*1.5)</f>
        <v>0</v>
      </c>
      <c r="I25" s="47" t="n">
        <f aca="false">($AS$23*I23)+($AS$23*I24*1.5)</f>
        <v>0</v>
      </c>
      <c r="J25" s="47" t="n">
        <f aca="false">($AS$23*J23)+($AS$23*J24*1.5)</f>
        <v>82560</v>
      </c>
      <c r="K25" s="47" t="n">
        <f aca="false">($AS$23*K23)+($AS$23*K24*1.5)</f>
        <v>0</v>
      </c>
      <c r="L25" s="47" t="n">
        <f aca="false">($AS$23*L23)+($AS$23*L24*1.5)</f>
        <v>0</v>
      </c>
      <c r="M25" s="43" t="n">
        <f aca="false">($AS$23*M23)</f>
        <v>33024</v>
      </c>
      <c r="N25" s="47" t="n">
        <f aca="false">($AS$23*N23)+($AS$23*N24*1.5)</f>
        <v>0</v>
      </c>
      <c r="O25" s="47" t="n">
        <f aca="false">($AS$23*O23)+($AS$23*O24*1.5)</f>
        <v>0</v>
      </c>
      <c r="P25" s="47" t="n">
        <f aca="false">($AS$23*P23)+($AS$23*P24*1.5)</f>
        <v>0</v>
      </c>
      <c r="Q25" s="47" t="n">
        <f aca="false">($AS$23*Q23)+($AS$23*Q24*1.5)</f>
        <v>0</v>
      </c>
      <c r="R25" s="47" t="n">
        <f aca="false">($AS$23*R23)+($AS$23*R24*1.5)</f>
        <v>0</v>
      </c>
      <c r="S25" s="47" t="n">
        <f aca="false">($AS$23*S23)+($AS$23*S24*1.5)</f>
        <v>82560</v>
      </c>
      <c r="T25" s="47" t="n">
        <f aca="false">($AS$23*T23)+($AS$23*T24*1.5)</f>
        <v>0</v>
      </c>
      <c r="U25" s="43" t="n">
        <f aca="false">($AS$23*U23)</f>
        <v>0</v>
      </c>
      <c r="V25" s="47" t="n">
        <f aca="false">($AS$23*V23)+($AS$23*V24*1.5)</f>
        <v>0</v>
      </c>
      <c r="W25" s="47" t="n">
        <f aca="false">($AS$23*W23)+($AS$23*W24*1.5)</f>
        <v>0</v>
      </c>
      <c r="X25" s="47" t="n">
        <f aca="false">($AS$23*X23)+($AS$23*X24*1.5)</f>
        <v>0</v>
      </c>
      <c r="Y25" s="47" t="n">
        <f aca="false">($AS$23*Y23)+($AS$23*Y24*1.5)</f>
        <v>0</v>
      </c>
      <c r="Z25" s="47" t="n">
        <f aca="false">($AS$23*Z23)+($AS$23*Z24*1.5)</f>
        <v>0</v>
      </c>
      <c r="AA25" s="47" t="n">
        <f aca="false">($AS$23*AA23)+($AS$23*AA24*1.5)</f>
        <v>0</v>
      </c>
      <c r="AB25" s="47" t="n">
        <f aca="false">($AS$23*AB23)+($AS$23*AB24*1.5)</f>
        <v>0</v>
      </c>
      <c r="AC25" s="43" t="n">
        <f aca="false">($AS$23*AC23)</f>
        <v>0</v>
      </c>
      <c r="AD25" s="47" t="n">
        <f aca="false">($AS$23*AD23)+($AS$23*AD24*1.5)</f>
        <v>0</v>
      </c>
      <c r="AE25" s="47" t="n">
        <f aca="false">($AS$23*AE23)+($AS$23*AE24*1.5)</f>
        <v>0</v>
      </c>
      <c r="AF25" s="47" t="n">
        <f aca="false">($AS$23*AF23)+($AS$23*AF24*1.5)</f>
        <v>0</v>
      </c>
      <c r="AG25" s="47" t="n">
        <f aca="false">($AS$23*AG23)+($AS$23*AG24*1.5)</f>
        <v>0</v>
      </c>
      <c r="AH25" s="47" t="n">
        <f aca="false">($AS$23*AH23)+($AS$23*AH24*1.5)</f>
        <v>0</v>
      </c>
      <c r="AI25" s="47" t="n">
        <f aca="false">($AS$23*AI23)+($AS$23*AI24*1.5)</f>
        <v>0</v>
      </c>
      <c r="AJ25" s="47" t="n">
        <f aca="false">($AS$23*AJ23)+($AS$23*AJ24*1.5)</f>
        <v>0</v>
      </c>
      <c r="AK25" s="43" t="n">
        <f aca="false">($AS$23*AK23)</f>
        <v>0</v>
      </c>
      <c r="AL25" s="47" t="n">
        <f aca="false">($AS$23*AL23)+($AS$23*AL24*1.5)</f>
        <v>0</v>
      </c>
      <c r="AM25" s="47" t="n">
        <f aca="false">($AS$23*AM23)+($AS$23*AM24*1.5)</f>
        <v>0</v>
      </c>
      <c r="AN25" s="43" t="n">
        <f aca="false">($AS$23*AN23)</f>
        <v>0</v>
      </c>
      <c r="AO25" s="32" t="n">
        <f aca="false">SUM(E25:AN25)</f>
        <v>404544</v>
      </c>
      <c r="AP25" s="4"/>
      <c r="AQ25" s="4"/>
      <c r="AR25" s="46"/>
      <c r="AS25" s="46"/>
      <c r="AT25" s="46"/>
      <c r="AU25" s="46"/>
      <c r="AV25" s="4"/>
      <c r="AW25" s="4"/>
    </row>
    <row r="26" customFormat="false" ht="19.5" hidden="false" customHeight="true" outlineLevel="0" collapsed="false">
      <c r="A26" s="4"/>
      <c r="B26" s="19" t="s">
        <v>28</v>
      </c>
      <c r="C26" s="20" t="s">
        <v>24</v>
      </c>
      <c r="D26" s="20"/>
      <c r="E26" s="45"/>
      <c r="F26" s="45"/>
      <c r="G26" s="45" t="n">
        <v>8</v>
      </c>
      <c r="H26" s="45" t="n">
        <v>8</v>
      </c>
      <c r="I26" s="45" t="n">
        <v>8</v>
      </c>
      <c r="J26" s="45"/>
      <c r="K26" s="45"/>
      <c r="L26" s="45"/>
      <c r="M26" s="39" t="n">
        <f aca="false">(SUM(F26:L27))/40*8</f>
        <v>4.8</v>
      </c>
      <c r="N26" s="45"/>
      <c r="O26" s="45"/>
      <c r="P26" s="45"/>
      <c r="Q26" s="45" t="n">
        <v>8</v>
      </c>
      <c r="R26" s="45"/>
      <c r="S26" s="45"/>
      <c r="T26" s="45"/>
      <c r="U26" s="39"/>
      <c r="V26" s="45"/>
      <c r="W26" s="45"/>
      <c r="X26" s="45"/>
      <c r="Y26" s="45"/>
      <c r="Z26" s="45"/>
      <c r="AA26" s="45"/>
      <c r="AB26" s="45"/>
      <c r="AC26" s="39"/>
      <c r="AD26" s="45"/>
      <c r="AE26" s="45"/>
      <c r="AF26" s="45"/>
      <c r="AG26" s="45"/>
      <c r="AH26" s="45"/>
      <c r="AI26" s="45"/>
      <c r="AJ26" s="45"/>
      <c r="AK26" s="39"/>
      <c r="AL26" s="45"/>
      <c r="AM26" s="45"/>
      <c r="AN26" s="39" t="n">
        <f aca="false">(SUM(AL26:AM27))/40*8</f>
        <v>0</v>
      </c>
      <c r="AO26" s="25" t="n">
        <f aca="false">SUM(E26:AN26)</f>
        <v>36.8</v>
      </c>
      <c r="AP26" s="4"/>
      <c r="AQ26" s="26" t="s">
        <v>28</v>
      </c>
      <c r="AR26" s="27" t="s">
        <v>19</v>
      </c>
      <c r="AS26" s="27" t="n">
        <v>10320</v>
      </c>
      <c r="AT26" s="22" t="n">
        <f aca="false">AO26-M26-U26-AC26-AK26-AN26</f>
        <v>32</v>
      </c>
      <c r="AU26" s="4"/>
      <c r="AV26" s="4"/>
      <c r="AW26" s="4"/>
    </row>
    <row r="27" customFormat="false" ht="19.5" hidden="false" customHeight="true" outlineLevel="0" collapsed="false">
      <c r="A27" s="4"/>
      <c r="B27" s="19"/>
      <c r="C27" s="20" t="s">
        <v>13</v>
      </c>
      <c r="D27" s="20"/>
      <c r="E27" s="45"/>
      <c r="F27" s="45"/>
      <c r="G27" s="45"/>
      <c r="H27" s="45"/>
      <c r="I27" s="45"/>
      <c r="J27" s="45"/>
      <c r="K27" s="45"/>
      <c r="L27" s="45"/>
      <c r="M27" s="39"/>
      <c r="N27" s="45"/>
      <c r="O27" s="45"/>
      <c r="P27" s="45"/>
      <c r="Q27" s="45"/>
      <c r="R27" s="45"/>
      <c r="S27" s="45"/>
      <c r="T27" s="45"/>
      <c r="U27" s="39"/>
      <c r="V27" s="45"/>
      <c r="W27" s="45"/>
      <c r="X27" s="45"/>
      <c r="Y27" s="45"/>
      <c r="Z27" s="45"/>
      <c r="AA27" s="45"/>
      <c r="AB27" s="45"/>
      <c r="AC27" s="39"/>
      <c r="AD27" s="45"/>
      <c r="AE27" s="45"/>
      <c r="AF27" s="45"/>
      <c r="AG27" s="45"/>
      <c r="AH27" s="45"/>
      <c r="AI27" s="45"/>
      <c r="AJ27" s="45"/>
      <c r="AK27" s="39"/>
      <c r="AL27" s="45"/>
      <c r="AM27" s="45"/>
      <c r="AN27" s="39"/>
      <c r="AO27" s="25" t="n">
        <f aca="false">SUM(E27:AN27)</f>
        <v>0</v>
      </c>
      <c r="AP27" s="4"/>
      <c r="AQ27" s="4"/>
      <c r="AR27" s="46"/>
      <c r="AS27" s="46"/>
      <c r="AT27" s="46"/>
      <c r="AU27" s="46"/>
      <c r="AV27" s="4"/>
      <c r="AW27" s="4"/>
    </row>
    <row r="28" customFormat="false" ht="19.5" hidden="false" customHeight="true" outlineLevel="0" collapsed="false">
      <c r="A28" s="4"/>
      <c r="B28" s="19"/>
      <c r="C28" s="28" t="s">
        <v>18</v>
      </c>
      <c r="D28" s="28"/>
      <c r="E28" s="47" t="n">
        <f aca="false">($AS$26*E26)+($AS$26*E27*1.5)</f>
        <v>0</v>
      </c>
      <c r="F28" s="47" t="n">
        <f aca="false">($AS$26*F26*2.5)+($AS$26*F27*3)</f>
        <v>0</v>
      </c>
      <c r="G28" s="47" t="n">
        <f aca="false">($AS$26*G26)+($AS$26*G27*1.5)</f>
        <v>82560</v>
      </c>
      <c r="H28" s="47" t="n">
        <f aca="false">($AS$26*H26)+($AS$26*H27*1.5)</f>
        <v>82560</v>
      </c>
      <c r="I28" s="47" t="n">
        <f aca="false">($AS$26*I26)+($AS$26*I27*1.5)</f>
        <v>82560</v>
      </c>
      <c r="J28" s="47" t="n">
        <f aca="false">($AS$26*J26)+($AS$26*J27*1.5)</f>
        <v>0</v>
      </c>
      <c r="K28" s="47" t="n">
        <f aca="false">($AS$26*K26)+($AS$26*K27*1.5)</f>
        <v>0</v>
      </c>
      <c r="L28" s="47" t="n">
        <f aca="false">($AS$26*L26)+($AS$26*L27*1.5)</f>
        <v>0</v>
      </c>
      <c r="M28" s="43" t="n">
        <f aca="false">($AS$26*M26)</f>
        <v>49536</v>
      </c>
      <c r="N28" s="47" t="n">
        <f aca="false">($AS$26*N26)+($AS$26*N27*1.5)</f>
        <v>0</v>
      </c>
      <c r="O28" s="47" t="n">
        <f aca="false">($AS$26*O26)+($AS$26*O27*1.5)</f>
        <v>0</v>
      </c>
      <c r="P28" s="47" t="n">
        <f aca="false">($AS$26*P26)+($AS$26*P27*1.5)</f>
        <v>0</v>
      </c>
      <c r="Q28" s="47" t="n">
        <f aca="false">($AS$26*Q26)+($AS$26*Q27*1.5)</f>
        <v>82560</v>
      </c>
      <c r="R28" s="47" t="n">
        <f aca="false">($AS$26*R26)+($AS$26*R27*1.5)</f>
        <v>0</v>
      </c>
      <c r="S28" s="47" t="n">
        <f aca="false">($AS$26*S26)+($AS$26*S27*1.5)</f>
        <v>0</v>
      </c>
      <c r="T28" s="47" t="n">
        <f aca="false">($AS$26*T26)+($AS$26*T27*1.5)</f>
        <v>0</v>
      </c>
      <c r="U28" s="43" t="n">
        <f aca="false">($AS$26*U26)</f>
        <v>0</v>
      </c>
      <c r="V28" s="47" t="n">
        <f aca="false">($AS$26*V26)+($AS$26*V27*1.5)</f>
        <v>0</v>
      </c>
      <c r="W28" s="47" t="n">
        <f aca="false">($AS$26*W26)+($AS$26*W27*1.5)</f>
        <v>0</v>
      </c>
      <c r="X28" s="47" t="n">
        <f aca="false">($AS$26*X26)+($AS$26*X27*1.5)</f>
        <v>0</v>
      </c>
      <c r="Y28" s="47" t="n">
        <f aca="false">($AS$26*Y26)+($AS$26*Y27*1.5)</f>
        <v>0</v>
      </c>
      <c r="Z28" s="47" t="n">
        <f aca="false">($AS$26*Z26)+($AS$26*Z27*1.5)</f>
        <v>0</v>
      </c>
      <c r="AA28" s="47" t="n">
        <f aca="false">($AS$26*AA26)+($AS$26*AA27*1.5)</f>
        <v>0</v>
      </c>
      <c r="AB28" s="47" t="n">
        <f aca="false">($AS$26*AB26)+($AS$26*AB27*1.5)</f>
        <v>0</v>
      </c>
      <c r="AC28" s="43" t="n">
        <f aca="false">($AS$26*AC26)</f>
        <v>0</v>
      </c>
      <c r="AD28" s="47" t="n">
        <f aca="false">($AS$26*AD26)+($AS$26*AD27*1.5)</f>
        <v>0</v>
      </c>
      <c r="AE28" s="47" t="n">
        <f aca="false">($AS$26*AE26)+($AS$26*AE27*1.5)</f>
        <v>0</v>
      </c>
      <c r="AF28" s="47" t="n">
        <f aca="false">($AS$26*AF26)+($AS$26*AF27*1.5)</f>
        <v>0</v>
      </c>
      <c r="AG28" s="47" t="n">
        <f aca="false">($AS$26*AG26)+($AS$26*AG27*1.5)</f>
        <v>0</v>
      </c>
      <c r="AH28" s="47" t="n">
        <f aca="false">($AS$26*AH26)+($AS$26*AH27*1.5)</f>
        <v>0</v>
      </c>
      <c r="AI28" s="47" t="n">
        <f aca="false">($AS$26*AI26)+($AS$26*AI27*1.5)</f>
        <v>0</v>
      </c>
      <c r="AJ28" s="47" t="n">
        <f aca="false">($AS$26*AJ26)+($AS$26*AJ27*1.5)</f>
        <v>0</v>
      </c>
      <c r="AK28" s="43" t="n">
        <f aca="false">($AS$26*AK26)</f>
        <v>0</v>
      </c>
      <c r="AL28" s="47" t="n">
        <f aca="false">($AS$26*AL26)+($AS$26*AL27*1.5)</f>
        <v>0</v>
      </c>
      <c r="AM28" s="47" t="n">
        <f aca="false">($AS$26*AM26)+($AS$26*AM27*1.5)</f>
        <v>0</v>
      </c>
      <c r="AN28" s="43" t="n">
        <f aca="false">($AS$26*AN26)</f>
        <v>0</v>
      </c>
      <c r="AO28" s="32" t="n">
        <f aca="false">SUM(E28:AN28)</f>
        <v>379776</v>
      </c>
      <c r="AP28" s="4"/>
      <c r="AQ28" s="4"/>
      <c r="AR28" s="46"/>
      <c r="AS28" s="46"/>
      <c r="AT28" s="46"/>
      <c r="AU28" s="46"/>
      <c r="AV28" s="4"/>
      <c r="AW28" s="4"/>
    </row>
    <row r="29" customFormat="false" ht="19.5" hidden="false" customHeight="true" outlineLevel="0" collapsed="false">
      <c r="A29" s="4"/>
      <c r="B29" s="19" t="s">
        <v>29</v>
      </c>
      <c r="C29" s="20" t="s">
        <v>24</v>
      </c>
      <c r="D29" s="20"/>
      <c r="E29" s="45"/>
      <c r="F29" s="45"/>
      <c r="G29" s="45"/>
      <c r="H29" s="45"/>
      <c r="I29" s="45"/>
      <c r="J29" s="45"/>
      <c r="K29" s="45"/>
      <c r="L29" s="45"/>
      <c r="M29" s="39"/>
      <c r="N29" s="45"/>
      <c r="O29" s="45"/>
      <c r="P29" s="45"/>
      <c r="Q29" s="45"/>
      <c r="R29" s="45" t="n">
        <v>8</v>
      </c>
      <c r="S29" s="45"/>
      <c r="T29" s="45"/>
      <c r="U29" s="39"/>
      <c r="V29" s="45"/>
      <c r="W29" s="45"/>
      <c r="X29" s="45"/>
      <c r="Y29" s="45"/>
      <c r="Z29" s="45"/>
      <c r="AA29" s="45"/>
      <c r="AB29" s="45"/>
      <c r="AC29" s="39"/>
      <c r="AD29" s="45"/>
      <c r="AE29" s="45"/>
      <c r="AF29" s="45"/>
      <c r="AG29" s="45"/>
      <c r="AH29" s="45"/>
      <c r="AI29" s="45"/>
      <c r="AJ29" s="45"/>
      <c r="AK29" s="39"/>
      <c r="AL29" s="45"/>
      <c r="AM29" s="45"/>
      <c r="AN29" s="39" t="n">
        <f aca="false">(SUM(AL29:AM30))/40*8</f>
        <v>0</v>
      </c>
      <c r="AO29" s="25" t="n">
        <f aca="false">SUM(E29:AN29)</f>
        <v>8</v>
      </c>
      <c r="AP29" s="4"/>
      <c r="AQ29" s="26" t="s">
        <v>29</v>
      </c>
      <c r="AR29" s="27" t="s">
        <v>19</v>
      </c>
      <c r="AS29" s="27" t="n">
        <v>10320</v>
      </c>
      <c r="AT29" s="22" t="n">
        <f aca="false">AO29-M29-U29-AC29-AK29-AN29</f>
        <v>8</v>
      </c>
      <c r="AU29" s="4"/>
      <c r="AV29" s="4"/>
      <c r="AW29" s="4"/>
    </row>
    <row r="30" customFormat="false" ht="19.5" hidden="false" customHeight="true" outlineLevel="0" collapsed="false">
      <c r="A30" s="4"/>
      <c r="B30" s="19"/>
      <c r="C30" s="20" t="s">
        <v>13</v>
      </c>
      <c r="D30" s="20"/>
      <c r="E30" s="45"/>
      <c r="F30" s="45"/>
      <c r="G30" s="45"/>
      <c r="H30" s="45"/>
      <c r="I30" s="45"/>
      <c r="J30" s="45"/>
      <c r="K30" s="45"/>
      <c r="L30" s="45"/>
      <c r="M30" s="39"/>
      <c r="N30" s="45"/>
      <c r="O30" s="45"/>
      <c r="P30" s="45"/>
      <c r="Q30" s="45"/>
      <c r="R30" s="45"/>
      <c r="S30" s="45"/>
      <c r="T30" s="45"/>
      <c r="U30" s="39"/>
      <c r="V30" s="45"/>
      <c r="W30" s="45"/>
      <c r="X30" s="45"/>
      <c r="Y30" s="45"/>
      <c r="Z30" s="45"/>
      <c r="AA30" s="45"/>
      <c r="AB30" s="45"/>
      <c r="AC30" s="39"/>
      <c r="AD30" s="45"/>
      <c r="AE30" s="45"/>
      <c r="AF30" s="45"/>
      <c r="AG30" s="45"/>
      <c r="AH30" s="45"/>
      <c r="AI30" s="45"/>
      <c r="AJ30" s="45"/>
      <c r="AK30" s="39"/>
      <c r="AL30" s="45"/>
      <c r="AM30" s="45"/>
      <c r="AN30" s="39"/>
      <c r="AO30" s="25" t="n">
        <f aca="false">SUM(E30:AN30)</f>
        <v>0</v>
      </c>
      <c r="AP30" s="4"/>
      <c r="AQ30" s="4"/>
      <c r="AR30" s="46"/>
      <c r="AS30" s="46"/>
      <c r="AT30" s="46"/>
      <c r="AU30" s="46"/>
      <c r="AV30" s="4"/>
      <c r="AW30" s="4"/>
    </row>
    <row r="31" customFormat="false" ht="19.5" hidden="false" customHeight="true" outlineLevel="0" collapsed="false">
      <c r="A31" s="4"/>
      <c r="B31" s="19"/>
      <c r="C31" s="28" t="s">
        <v>18</v>
      </c>
      <c r="D31" s="28"/>
      <c r="E31" s="47" t="n">
        <f aca="false">($AS$29*E29)+($AS$29*E30*1.5)</f>
        <v>0</v>
      </c>
      <c r="F31" s="47" t="n">
        <f aca="false">($AS$29*F29*2.5)+($AS$29*F30*3)</f>
        <v>0</v>
      </c>
      <c r="G31" s="47" t="n">
        <f aca="false">($AS$29*G29)+($AS$29*G30*1.5)</f>
        <v>0</v>
      </c>
      <c r="H31" s="47" t="n">
        <f aca="false">($AS$29*H29)+($AS$29*H30*1.5)</f>
        <v>0</v>
      </c>
      <c r="I31" s="47" t="n">
        <f aca="false">($AS$29*I29)+($AS$29*I30*1.5)</f>
        <v>0</v>
      </c>
      <c r="J31" s="47" t="n">
        <f aca="false">($AS$29*J29)+($AS$29*J30*1.5)</f>
        <v>0</v>
      </c>
      <c r="K31" s="47" t="n">
        <f aca="false">($AS$29*K29)+($AS$29*K30*1.5)</f>
        <v>0</v>
      </c>
      <c r="L31" s="47" t="n">
        <f aca="false">($AS$29*L29)+($AS$29*L30*1.5)</f>
        <v>0</v>
      </c>
      <c r="M31" s="43" t="n">
        <f aca="false">($AS$29*M29)</f>
        <v>0</v>
      </c>
      <c r="N31" s="47" t="n">
        <f aca="false">($AS$29*N29)+($AS$29*N30*1.5)</f>
        <v>0</v>
      </c>
      <c r="O31" s="47" t="n">
        <f aca="false">($AS$29*O29)+($AS$29*O30*1.5)</f>
        <v>0</v>
      </c>
      <c r="P31" s="47" t="n">
        <f aca="false">($AS$29*P29)+($AS$29*P30*1.5)</f>
        <v>0</v>
      </c>
      <c r="Q31" s="47" t="n">
        <f aca="false">($AS$29*Q29)+($AS$29*Q30*1.5)</f>
        <v>0</v>
      </c>
      <c r="R31" s="47" t="n">
        <f aca="false">($AS$29*R29)+($AS$29*R30*1.5)</f>
        <v>82560</v>
      </c>
      <c r="S31" s="47" t="n">
        <f aca="false">($AS$29*S29)+($AS$29*S30*1.5)</f>
        <v>0</v>
      </c>
      <c r="T31" s="47" t="n">
        <f aca="false">($AS$29*T29)+($AS$29*T30*1.5)</f>
        <v>0</v>
      </c>
      <c r="U31" s="43" t="n">
        <f aca="false">($AS$29*U29)</f>
        <v>0</v>
      </c>
      <c r="V31" s="47" t="n">
        <f aca="false">($AS$29*V29)+($AS$29*V30*1.5)</f>
        <v>0</v>
      </c>
      <c r="W31" s="47" t="n">
        <f aca="false">($AS$29*W29)+($AS$29*W30*1.5)</f>
        <v>0</v>
      </c>
      <c r="X31" s="47" t="n">
        <f aca="false">($AS$29*X29)+($AS$29*X30*1.5)</f>
        <v>0</v>
      </c>
      <c r="Y31" s="47" t="n">
        <f aca="false">($AS$29*Y29)+($AS$29*Y30*1.5)</f>
        <v>0</v>
      </c>
      <c r="Z31" s="47" t="n">
        <f aca="false">($AS$29*Z29)+($AS$29*Z30*1.5)</f>
        <v>0</v>
      </c>
      <c r="AA31" s="47" t="n">
        <f aca="false">($AS$29*AA29)+($AS$29*AA30*1.5)</f>
        <v>0</v>
      </c>
      <c r="AB31" s="47" t="n">
        <f aca="false">($AS$29*AB29)+($AS$29*AB30*1.5)</f>
        <v>0</v>
      </c>
      <c r="AC31" s="43" t="n">
        <f aca="false">($AS$29*AC29)</f>
        <v>0</v>
      </c>
      <c r="AD31" s="47" t="n">
        <f aca="false">($AS$29*AD29)+($AS$29*AD30*1.5)</f>
        <v>0</v>
      </c>
      <c r="AE31" s="47" t="n">
        <f aca="false">($AS$29*AE29)+($AS$29*AE30*1.5)</f>
        <v>0</v>
      </c>
      <c r="AF31" s="47" t="n">
        <f aca="false">($AS$29*AF29)+($AS$29*AF30*1.5)</f>
        <v>0</v>
      </c>
      <c r="AG31" s="47" t="n">
        <f aca="false">($AS$29*AG29)+($AS$29*AG30*1.5)</f>
        <v>0</v>
      </c>
      <c r="AH31" s="47" t="n">
        <f aca="false">($AS$29*AH29)+($AS$29*AH30*1.5)</f>
        <v>0</v>
      </c>
      <c r="AI31" s="47" t="n">
        <f aca="false">($AS$29*AI29)+($AS$29*AI30*1.5)</f>
        <v>0</v>
      </c>
      <c r="AJ31" s="47" t="n">
        <f aca="false">($AS$29*AJ29)+($AS$29*AJ30*1.5)</f>
        <v>0</v>
      </c>
      <c r="AK31" s="43" t="n">
        <f aca="false">($AS$29*AK29)</f>
        <v>0</v>
      </c>
      <c r="AL31" s="47" t="n">
        <f aca="false">($AS$29*AL29)+($AS$29*AL30*1.5)</f>
        <v>0</v>
      </c>
      <c r="AM31" s="47" t="n">
        <f aca="false">($AS$29*AM29)+($AS$29*AM30*1.5)</f>
        <v>0</v>
      </c>
      <c r="AN31" s="43" t="n">
        <f aca="false">($AS$29*AN29)</f>
        <v>0</v>
      </c>
      <c r="AO31" s="32" t="n">
        <f aca="false">SUM(E31:AN31)</f>
        <v>82560</v>
      </c>
      <c r="AP31" s="4"/>
      <c r="AQ31" s="4"/>
      <c r="AR31" s="46"/>
      <c r="AS31" s="46"/>
      <c r="AT31" s="46"/>
      <c r="AU31" s="46"/>
      <c r="AV31" s="4"/>
      <c r="AW31" s="4"/>
    </row>
    <row r="32" customFormat="false" ht="20.2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18"/>
      <c r="AE32" s="18"/>
      <c r="AF32" s="18"/>
      <c r="AG32" s="18"/>
      <c r="AH32" s="4"/>
      <c r="AI32" s="4"/>
      <c r="AJ32" s="4"/>
      <c r="AK32" s="4"/>
      <c r="AL32" s="4"/>
      <c r="AM32" s="4"/>
      <c r="AN32" s="4"/>
      <c r="AO32" s="4"/>
      <c r="AP32" s="4"/>
      <c r="AQ32" s="46"/>
      <c r="AR32" s="46"/>
      <c r="AS32" s="4"/>
      <c r="AT32" s="4"/>
      <c r="AU32" s="4"/>
      <c r="AV32" s="4"/>
      <c r="AW32" s="4"/>
    </row>
    <row r="33" customFormat="false" ht="16.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customFormat="false" ht="20.2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18"/>
      <c r="AE34" s="18"/>
      <c r="AF34" s="18"/>
      <c r="AG34" s="18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customFormat="false" ht="20.2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18"/>
      <c r="AF35" s="18"/>
      <c r="AG35" s="18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</sheetData>
  <mergeCells count="44">
    <mergeCell ref="B2:D2"/>
    <mergeCell ref="B4:D5"/>
    <mergeCell ref="M4:M5"/>
    <mergeCell ref="U4:U5"/>
    <mergeCell ref="AC4:AC5"/>
    <mergeCell ref="AK4:AK5"/>
    <mergeCell ref="AN4:AN5"/>
    <mergeCell ref="AO4:AO5"/>
    <mergeCell ref="B6:B7"/>
    <mergeCell ref="C6:D6"/>
    <mergeCell ref="C7:D7"/>
    <mergeCell ref="B8:B9"/>
    <mergeCell ref="C8:D8"/>
    <mergeCell ref="C9:D9"/>
    <mergeCell ref="B10:B11"/>
    <mergeCell ref="C10:D10"/>
    <mergeCell ref="C11:D11"/>
    <mergeCell ref="B12:B13"/>
    <mergeCell ref="C12:D12"/>
    <mergeCell ref="C13:D13"/>
    <mergeCell ref="B14:B16"/>
    <mergeCell ref="C14:D14"/>
    <mergeCell ref="C15:D15"/>
    <mergeCell ref="C16:D16"/>
    <mergeCell ref="B17:B19"/>
    <mergeCell ref="C17:D17"/>
    <mergeCell ref="C18:D18"/>
    <mergeCell ref="C19:D19"/>
    <mergeCell ref="B20:B22"/>
    <mergeCell ref="C20:D20"/>
    <mergeCell ref="C21:D21"/>
    <mergeCell ref="C22:D22"/>
    <mergeCell ref="B23:B25"/>
    <mergeCell ref="C23:D23"/>
    <mergeCell ref="C24:D24"/>
    <mergeCell ref="C25:D25"/>
    <mergeCell ref="B26:B28"/>
    <mergeCell ref="C26:D26"/>
    <mergeCell ref="C27:D27"/>
    <mergeCell ref="C28:D28"/>
    <mergeCell ref="B29:B31"/>
    <mergeCell ref="C29:D29"/>
    <mergeCell ref="C30:D30"/>
    <mergeCell ref="C31:D31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9" scale="4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B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75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W18" activeCellId="0" sqref="W18"/>
    </sheetView>
  </sheetViews>
  <sheetFormatPr defaultColWidth="8.75" defaultRowHeight="16.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4" min="2" style="1" width="8"/>
    <col collapsed="false" customWidth="true" hidden="true" outlineLevel="0" max="13" min="5" style="1" width="9.88"/>
    <col collapsed="false" customWidth="true" hidden="false" outlineLevel="0" max="44" min="14" style="48" width="10.5"/>
    <col collapsed="false" customWidth="true" hidden="true" outlineLevel="0" max="47" min="45" style="2" width="9.88"/>
    <col collapsed="false" customWidth="true" hidden="false" outlineLevel="0" max="48" min="48" style="2" width="16.25"/>
    <col collapsed="false" customWidth="true" hidden="false" outlineLevel="0" max="49" min="49" style="1" width="2"/>
    <col collapsed="false" customWidth="true" hidden="false" outlineLevel="0" max="50" min="50" style="1" width="22.13"/>
    <col collapsed="false" customWidth="true" hidden="false" outlineLevel="0" max="53" min="51" style="1" width="12.75"/>
    <col collapsed="false" customWidth="true" hidden="false" outlineLevel="0" max="54" min="54" style="1" width="5.25"/>
    <col collapsed="false" customWidth="true" hidden="false" outlineLevel="0" max="55" min="55" style="2" width="2.38"/>
    <col collapsed="false" customWidth="true" hidden="false" outlineLevel="0" max="56" min="56" style="2" width="12"/>
    <col collapsed="false" customWidth="false" hidden="false" outlineLevel="0" max="16384" min="57" style="1" width="8.75"/>
  </cols>
  <sheetData>
    <row r="1" customFormat="false" ht="16.5" hidden="false" customHeight="false" outlineLevel="0" collapsed="false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</row>
    <row r="2" customFormat="false" ht="30" hidden="false" customHeight="true" outlineLevel="0" collapsed="false">
      <c r="A2" s="49"/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0"/>
      <c r="O2" s="51"/>
      <c r="P2" s="52" t="s">
        <v>30</v>
      </c>
      <c r="Q2" s="53"/>
      <c r="R2" s="53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5"/>
      <c r="AZ2" s="55"/>
      <c r="BA2" s="54"/>
      <c r="BB2" s="54"/>
      <c r="BC2" s="53"/>
      <c r="BD2" s="53"/>
    </row>
    <row r="3" customFormat="false" ht="17.25" hidden="false" customHeight="true" outlineLevel="0" collapsed="false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56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57"/>
      <c r="AZ3" s="57"/>
      <c r="BA3" s="49"/>
      <c r="BB3" s="49"/>
      <c r="BC3" s="58"/>
      <c r="BD3" s="58"/>
    </row>
    <row r="4" customFormat="false" ht="21.75" hidden="false" customHeight="true" outlineLevel="0" collapsed="false">
      <c r="A4" s="49"/>
      <c r="B4" s="9" t="s">
        <v>1</v>
      </c>
      <c r="C4" s="9"/>
      <c r="D4" s="9"/>
      <c r="E4" s="59" t="s">
        <v>31</v>
      </c>
      <c r="F4" s="59" t="s">
        <v>32</v>
      </c>
      <c r="G4" s="59" t="s">
        <v>33</v>
      </c>
      <c r="H4" s="59" t="s">
        <v>34</v>
      </c>
      <c r="I4" s="16" t="s">
        <v>2</v>
      </c>
      <c r="J4" s="59" t="s">
        <v>35</v>
      </c>
      <c r="K4" s="59" t="s">
        <v>36</v>
      </c>
      <c r="L4" s="59" t="s">
        <v>37</v>
      </c>
      <c r="M4" s="59" t="s">
        <v>38</v>
      </c>
      <c r="N4" s="59" t="s">
        <v>39</v>
      </c>
      <c r="O4" s="59" t="s">
        <v>40</v>
      </c>
      <c r="P4" s="59" t="s">
        <v>41</v>
      </c>
      <c r="Q4" s="59" t="s">
        <v>42</v>
      </c>
      <c r="R4" s="59" t="s">
        <v>43</v>
      </c>
      <c r="S4" s="59" t="s">
        <v>44</v>
      </c>
      <c r="T4" s="59" t="s">
        <v>45</v>
      </c>
      <c r="U4" s="59" t="s">
        <v>46</v>
      </c>
      <c r="V4" s="59" t="s">
        <v>47</v>
      </c>
      <c r="W4" s="59" t="s">
        <v>48</v>
      </c>
      <c r="X4" s="59" t="s">
        <v>49</v>
      </c>
      <c r="Y4" s="59" t="s">
        <v>50</v>
      </c>
      <c r="Z4" s="59" t="s">
        <v>51</v>
      </c>
      <c r="AA4" s="59" t="s">
        <v>52</v>
      </c>
      <c r="AB4" s="59" t="s">
        <v>53</v>
      </c>
      <c r="AC4" s="59" t="s">
        <v>54</v>
      </c>
      <c r="AD4" s="59" t="s">
        <v>55</v>
      </c>
      <c r="AE4" s="59" t="s">
        <v>56</v>
      </c>
      <c r="AF4" s="59" t="s">
        <v>57</v>
      </c>
      <c r="AG4" s="59" t="s">
        <v>58</v>
      </c>
      <c r="AH4" s="59" t="s">
        <v>59</v>
      </c>
      <c r="AI4" s="59" t="s">
        <v>60</v>
      </c>
      <c r="AJ4" s="59" t="s">
        <v>61</v>
      </c>
      <c r="AK4" s="59" t="s">
        <v>62</v>
      </c>
      <c r="AL4" s="59" t="s">
        <v>63</v>
      </c>
      <c r="AM4" s="59" t="s">
        <v>64</v>
      </c>
      <c r="AN4" s="59" t="s">
        <v>65</v>
      </c>
      <c r="AO4" s="59" t="s">
        <v>66</v>
      </c>
      <c r="AP4" s="59" t="s">
        <v>67</v>
      </c>
      <c r="AQ4" s="59" t="s">
        <v>68</v>
      </c>
      <c r="AR4" s="59" t="s">
        <v>69</v>
      </c>
      <c r="AS4" s="59" t="s">
        <v>70</v>
      </c>
      <c r="AT4" s="59" t="s">
        <v>71</v>
      </c>
      <c r="AU4" s="16" t="s">
        <v>2</v>
      </c>
      <c r="AV4" s="16" t="s">
        <v>3</v>
      </c>
      <c r="AW4" s="60"/>
      <c r="AX4" s="60"/>
      <c r="AY4" s="61"/>
      <c r="AZ4" s="61"/>
      <c r="BA4" s="60"/>
      <c r="BB4" s="60"/>
      <c r="BC4" s="61"/>
      <c r="BD4" s="61"/>
    </row>
    <row r="5" customFormat="false" ht="21.75" hidden="false" customHeight="true" outlineLevel="0" collapsed="false">
      <c r="A5" s="49"/>
      <c r="B5" s="9"/>
      <c r="C5" s="9"/>
      <c r="D5" s="9"/>
      <c r="E5" s="16" t="s">
        <v>8</v>
      </c>
      <c r="F5" s="16" t="s">
        <v>9</v>
      </c>
      <c r="G5" s="16" t="s">
        <v>10</v>
      </c>
      <c r="H5" s="16" t="s">
        <v>4</v>
      </c>
      <c r="I5" s="16"/>
      <c r="J5" s="16" t="s">
        <v>5</v>
      </c>
      <c r="K5" s="16" t="s">
        <v>6</v>
      </c>
      <c r="L5" s="16" t="s">
        <v>7</v>
      </c>
      <c r="M5" s="16" t="s">
        <v>8</v>
      </c>
      <c r="N5" s="16" t="s">
        <v>4</v>
      </c>
      <c r="O5" s="16" t="s">
        <v>5</v>
      </c>
      <c r="P5" s="16" t="s">
        <v>6</v>
      </c>
      <c r="Q5" s="16" t="s">
        <v>7</v>
      </c>
      <c r="R5" s="16" t="s">
        <v>8</v>
      </c>
      <c r="S5" s="16" t="s">
        <v>9</v>
      </c>
      <c r="T5" s="16" t="s">
        <v>10</v>
      </c>
      <c r="U5" s="16" t="s">
        <v>4</v>
      </c>
      <c r="V5" s="16" t="s">
        <v>5</v>
      </c>
      <c r="W5" s="16" t="s">
        <v>6</v>
      </c>
      <c r="X5" s="16" t="s">
        <v>7</v>
      </c>
      <c r="Y5" s="16" t="s">
        <v>8</v>
      </c>
      <c r="Z5" s="16" t="s">
        <v>9</v>
      </c>
      <c r="AA5" s="16" t="s">
        <v>10</v>
      </c>
      <c r="AB5" s="16" t="s">
        <v>4</v>
      </c>
      <c r="AC5" s="16" t="s">
        <v>5</v>
      </c>
      <c r="AD5" s="16" t="s">
        <v>6</v>
      </c>
      <c r="AE5" s="16" t="s">
        <v>7</v>
      </c>
      <c r="AF5" s="16" t="s">
        <v>8</v>
      </c>
      <c r="AG5" s="16" t="s">
        <v>9</v>
      </c>
      <c r="AH5" s="16" t="s">
        <v>10</v>
      </c>
      <c r="AI5" s="16" t="s">
        <v>4</v>
      </c>
      <c r="AJ5" s="16" t="s">
        <v>5</v>
      </c>
      <c r="AK5" s="16" t="s">
        <v>6</v>
      </c>
      <c r="AL5" s="16" t="s">
        <v>7</v>
      </c>
      <c r="AM5" s="16" t="s">
        <v>8</v>
      </c>
      <c r="AN5" s="16" t="s">
        <v>9</v>
      </c>
      <c r="AO5" s="16" t="s">
        <v>10</v>
      </c>
      <c r="AP5" s="16" t="s">
        <v>4</v>
      </c>
      <c r="AQ5" s="16" t="s">
        <v>5</v>
      </c>
      <c r="AR5" s="16" t="s">
        <v>6</v>
      </c>
      <c r="AS5" s="16" t="s">
        <v>9</v>
      </c>
      <c r="AT5" s="16" t="s">
        <v>10</v>
      </c>
      <c r="AU5" s="16"/>
      <c r="AV5" s="16"/>
      <c r="AW5" s="60"/>
      <c r="AX5" s="60"/>
      <c r="AY5" s="61"/>
      <c r="AZ5" s="61"/>
      <c r="BA5" s="60"/>
      <c r="BB5" s="60"/>
      <c r="BC5" s="61"/>
      <c r="BD5" s="61"/>
    </row>
    <row r="6" s="65" customFormat="true" ht="21.75" hidden="false" customHeight="true" outlineLevel="0" collapsed="false">
      <c r="A6" s="49"/>
      <c r="B6" s="62" t="s">
        <v>12</v>
      </c>
      <c r="C6" s="34" t="s">
        <v>13</v>
      </c>
      <c r="D6" s="34"/>
      <c r="E6" s="63"/>
      <c r="F6" s="63"/>
      <c r="G6" s="63"/>
      <c r="H6" s="63"/>
      <c r="I6" s="63"/>
      <c r="J6" s="63"/>
      <c r="K6" s="63"/>
      <c r="L6" s="63"/>
      <c r="M6" s="63"/>
      <c r="N6" s="63"/>
      <c r="O6" s="63" t="n">
        <v>8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34" t="n">
        <f aca="false">SUM(N6:AU6)</f>
        <v>8</v>
      </c>
      <c r="AW6" s="64"/>
      <c r="AX6" s="34"/>
      <c r="AY6" s="64"/>
      <c r="AZ6" s="34"/>
      <c r="BA6" s="64"/>
      <c r="BB6" s="64"/>
      <c r="BC6" s="64"/>
      <c r="BD6" s="64"/>
    </row>
    <row r="7" s="65" customFormat="true" ht="21.75" hidden="false" customHeight="true" outlineLevel="0" collapsed="false">
      <c r="A7" s="49"/>
      <c r="B7" s="62" t="s">
        <v>20</v>
      </c>
      <c r="C7" s="34" t="s">
        <v>13</v>
      </c>
      <c r="D7" s="34"/>
      <c r="E7" s="63"/>
      <c r="F7" s="63"/>
      <c r="G7" s="63"/>
      <c r="H7" s="63"/>
      <c r="I7" s="63"/>
      <c r="J7" s="63"/>
      <c r="K7" s="63"/>
      <c r="L7" s="63"/>
      <c r="M7" s="63"/>
      <c r="N7" s="63"/>
      <c r="O7" s="63" t="n">
        <v>8</v>
      </c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 t="n">
        <v>8</v>
      </c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34" t="n">
        <f aca="false">SUM(N7:AU7)</f>
        <v>16</v>
      </c>
      <c r="AW7" s="64"/>
      <c r="AX7" s="34"/>
      <c r="AY7" s="64"/>
      <c r="AZ7" s="34"/>
      <c r="BA7" s="64"/>
      <c r="BB7" s="64"/>
      <c r="BC7" s="64"/>
      <c r="BD7" s="64"/>
    </row>
    <row r="8" s="37" customFormat="true" ht="21.75" hidden="false" customHeight="true" outlineLevel="0" collapsed="false">
      <c r="A8" s="49"/>
      <c r="B8" s="62" t="s">
        <v>21</v>
      </c>
      <c r="C8" s="34" t="s">
        <v>24</v>
      </c>
      <c r="D8" s="34"/>
      <c r="E8" s="34"/>
      <c r="F8" s="34"/>
      <c r="G8" s="34"/>
      <c r="H8" s="34"/>
      <c r="I8" s="34" t="n">
        <f aca="false">SUM(E8:H8)</f>
        <v>0</v>
      </c>
      <c r="J8" s="34"/>
      <c r="K8" s="34"/>
      <c r="L8" s="34"/>
      <c r="M8" s="34"/>
      <c r="N8" s="34"/>
      <c r="O8" s="34" t="n">
        <v>8</v>
      </c>
      <c r="P8" s="66" t="n">
        <v>8</v>
      </c>
      <c r="Q8" s="66" t="n">
        <v>8</v>
      </c>
      <c r="R8" s="66" t="n">
        <v>8</v>
      </c>
      <c r="S8" s="66" t="n">
        <v>8</v>
      </c>
      <c r="T8" s="66"/>
      <c r="U8" s="66"/>
      <c r="V8" s="66" t="n">
        <v>8</v>
      </c>
      <c r="W8" s="66" t="n">
        <v>8</v>
      </c>
      <c r="X8" s="66" t="n">
        <v>8</v>
      </c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 t="n">
        <f aca="false">SUM(AS8:AT8)</f>
        <v>0</v>
      </c>
      <c r="AV8" s="34" t="n">
        <f aca="false">SUM(N8:AU8)</f>
        <v>64</v>
      </c>
      <c r="AW8" s="64"/>
      <c r="AX8" s="64"/>
      <c r="AY8" s="64"/>
      <c r="AZ8" s="64"/>
      <c r="BA8" s="64"/>
      <c r="BB8" s="64"/>
      <c r="BC8" s="64"/>
      <c r="BD8" s="64"/>
    </row>
    <row r="9" s="37" customFormat="true" ht="21.75" hidden="false" customHeight="true" outlineLevel="0" collapsed="false">
      <c r="A9" s="49"/>
      <c r="B9" s="62" t="s">
        <v>22</v>
      </c>
      <c r="C9" s="34" t="s">
        <v>24</v>
      </c>
      <c r="D9" s="34"/>
      <c r="E9" s="34"/>
      <c r="F9" s="34"/>
      <c r="G9" s="34"/>
      <c r="H9" s="34"/>
      <c r="I9" s="34" t="n">
        <f aca="false">SUM(E9:H9)</f>
        <v>0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66" t="n">
        <v>8</v>
      </c>
      <c r="AD9" s="66" t="n">
        <v>8</v>
      </c>
      <c r="AE9" s="66" t="n">
        <v>8</v>
      </c>
      <c r="AF9" s="66" t="n">
        <v>8</v>
      </c>
      <c r="AG9" s="66" t="n">
        <v>8</v>
      </c>
      <c r="AH9" s="66"/>
      <c r="AI9" s="66"/>
      <c r="AJ9" s="66" t="n">
        <v>8</v>
      </c>
      <c r="AK9" s="66" t="n">
        <v>8</v>
      </c>
      <c r="AL9" s="66" t="n">
        <v>8</v>
      </c>
      <c r="AM9" s="66" t="n">
        <v>8</v>
      </c>
      <c r="AN9" s="66" t="n">
        <v>8</v>
      </c>
      <c r="AO9" s="66"/>
      <c r="AP9" s="66"/>
      <c r="AQ9" s="66" t="n">
        <v>8</v>
      </c>
      <c r="AR9" s="66" t="n">
        <v>8</v>
      </c>
      <c r="AS9" s="34"/>
      <c r="AT9" s="34"/>
      <c r="AU9" s="34" t="n">
        <f aca="false">SUM(AS9:AT9)</f>
        <v>0</v>
      </c>
      <c r="AV9" s="34" t="n">
        <f aca="false">SUM(N9:AU9)</f>
        <v>96</v>
      </c>
      <c r="AW9" s="64"/>
      <c r="AX9" s="64"/>
      <c r="AY9" s="64"/>
      <c r="AZ9" s="64"/>
      <c r="BA9" s="64"/>
      <c r="BB9" s="64"/>
      <c r="BC9" s="64"/>
      <c r="BD9" s="64"/>
    </row>
    <row r="10" s="37" customFormat="true" ht="21.75" hidden="false" customHeight="true" outlineLevel="0" collapsed="false">
      <c r="A10" s="49"/>
      <c r="B10" s="62" t="s">
        <v>23</v>
      </c>
      <c r="C10" s="67" t="s">
        <v>24</v>
      </c>
      <c r="D10" s="67"/>
      <c r="E10" s="45"/>
      <c r="F10" s="45"/>
      <c r="G10" s="45"/>
      <c r="H10" s="45"/>
      <c r="I10" s="45" t="n">
        <f aca="false">SUM(E10:H10)</f>
        <v>0</v>
      </c>
      <c r="J10" s="45"/>
      <c r="K10" s="45"/>
      <c r="L10" s="45"/>
      <c r="M10" s="45"/>
      <c r="N10" s="45"/>
      <c r="O10" s="45" t="n">
        <v>8</v>
      </c>
      <c r="P10" s="45" t="n">
        <v>8</v>
      </c>
      <c r="Q10" s="45" t="n">
        <v>8</v>
      </c>
      <c r="R10" s="45" t="n">
        <v>8</v>
      </c>
      <c r="S10" s="45" t="n">
        <v>8</v>
      </c>
      <c r="T10" s="45"/>
      <c r="U10" s="45"/>
      <c r="V10" s="45" t="n">
        <v>8</v>
      </c>
      <c r="W10" s="45" t="n">
        <v>8</v>
      </c>
      <c r="X10" s="45" t="n">
        <v>8</v>
      </c>
      <c r="Y10" s="45" t="n">
        <v>8</v>
      </c>
      <c r="Z10" s="45" t="n">
        <v>8</v>
      </c>
      <c r="AA10" s="45" t="n">
        <v>8</v>
      </c>
      <c r="AB10" s="45"/>
      <c r="AC10" s="45" t="n">
        <v>8</v>
      </c>
      <c r="AD10" s="45" t="n">
        <v>8</v>
      </c>
      <c r="AE10" s="45" t="n">
        <v>8</v>
      </c>
      <c r="AF10" s="45" t="n">
        <v>8</v>
      </c>
      <c r="AG10" s="45" t="n">
        <v>8</v>
      </c>
      <c r="AH10" s="45"/>
      <c r="AI10" s="45"/>
      <c r="AJ10" s="45" t="n">
        <v>8</v>
      </c>
      <c r="AK10" s="45" t="n">
        <v>8</v>
      </c>
      <c r="AL10" s="45" t="n">
        <v>8</v>
      </c>
      <c r="AM10" s="45" t="n">
        <v>8</v>
      </c>
      <c r="AN10" s="45" t="n">
        <v>8</v>
      </c>
      <c r="AO10" s="45"/>
      <c r="AP10" s="45"/>
      <c r="AQ10" s="45" t="n">
        <v>8</v>
      </c>
      <c r="AR10" s="45" t="n">
        <v>8</v>
      </c>
      <c r="AS10" s="45"/>
      <c r="AT10" s="45"/>
      <c r="AU10" s="45" t="n">
        <f aca="false">SUM(AS10:AT10)</f>
        <v>0</v>
      </c>
      <c r="AV10" s="45" t="n">
        <f aca="false">SUM(N10:AU10)</f>
        <v>184</v>
      </c>
      <c r="AW10" s="64"/>
      <c r="AX10" s="64"/>
      <c r="AY10" s="64"/>
      <c r="AZ10" s="64"/>
      <c r="BA10" s="64"/>
      <c r="BB10" s="64"/>
      <c r="BC10" s="64"/>
      <c r="BD10" s="64"/>
    </row>
    <row r="11" s="37" customFormat="true" ht="21.75" hidden="false" customHeight="true" outlineLevel="0" collapsed="false">
      <c r="A11" s="49"/>
      <c r="B11" s="62" t="s">
        <v>25</v>
      </c>
      <c r="C11" s="67" t="s">
        <v>24</v>
      </c>
      <c r="D11" s="67"/>
      <c r="E11" s="45"/>
      <c r="F11" s="45"/>
      <c r="G11" s="45"/>
      <c r="H11" s="45"/>
      <c r="I11" s="45" t="n">
        <f aca="false">SUM(E11:H11)</f>
        <v>0</v>
      </c>
      <c r="J11" s="45"/>
      <c r="K11" s="45"/>
      <c r="L11" s="45"/>
      <c r="M11" s="45"/>
      <c r="N11" s="45"/>
      <c r="O11" s="45" t="n">
        <v>8</v>
      </c>
      <c r="P11" s="45" t="n">
        <v>8</v>
      </c>
      <c r="Q11" s="45" t="n">
        <v>8</v>
      </c>
      <c r="R11" s="45" t="n">
        <v>8</v>
      </c>
      <c r="S11" s="45" t="n">
        <v>8</v>
      </c>
      <c r="T11" s="45"/>
      <c r="U11" s="45"/>
      <c r="V11" s="45" t="n">
        <v>8</v>
      </c>
      <c r="W11" s="45" t="n">
        <v>8</v>
      </c>
      <c r="X11" s="45" t="n">
        <v>8</v>
      </c>
      <c r="Y11" s="45"/>
      <c r="Z11" s="45" t="n">
        <v>8</v>
      </c>
      <c r="AA11" s="45" t="n">
        <v>8</v>
      </c>
      <c r="AB11" s="45"/>
      <c r="AC11" s="45" t="n">
        <v>8</v>
      </c>
      <c r="AD11" s="45" t="n">
        <v>8</v>
      </c>
      <c r="AE11" s="45" t="n">
        <v>8</v>
      </c>
      <c r="AF11" s="45" t="n">
        <v>8</v>
      </c>
      <c r="AG11" s="45" t="n">
        <v>8</v>
      </c>
      <c r="AH11" s="45"/>
      <c r="AI11" s="45"/>
      <c r="AJ11" s="45" t="n">
        <v>8</v>
      </c>
      <c r="AK11" s="45" t="n">
        <v>8</v>
      </c>
      <c r="AL11" s="45"/>
      <c r="AM11" s="45"/>
      <c r="AN11" s="45"/>
      <c r="AO11" s="45"/>
      <c r="AP11" s="45"/>
      <c r="AQ11" s="45"/>
      <c r="AR11" s="45"/>
      <c r="AS11" s="45"/>
      <c r="AT11" s="45"/>
      <c r="AU11" s="45" t="n">
        <f aca="false">SUM(AS11:AT11)</f>
        <v>0</v>
      </c>
      <c r="AV11" s="45" t="n">
        <f aca="false">SUM(N11:AU11)</f>
        <v>136</v>
      </c>
      <c r="AW11" s="64"/>
      <c r="AX11" s="64"/>
      <c r="AY11" s="64"/>
      <c r="AZ11" s="64"/>
      <c r="BA11" s="64"/>
      <c r="BB11" s="64"/>
      <c r="BC11" s="64"/>
      <c r="BD11" s="64"/>
    </row>
    <row r="12" s="37" customFormat="true" ht="21.75" hidden="false" customHeight="true" outlineLevel="0" collapsed="false">
      <c r="A12" s="49"/>
      <c r="B12" s="62" t="s">
        <v>26</v>
      </c>
      <c r="C12" s="67" t="s">
        <v>24</v>
      </c>
      <c r="D12" s="67"/>
      <c r="E12" s="45"/>
      <c r="F12" s="45"/>
      <c r="G12" s="45"/>
      <c r="H12" s="45"/>
      <c r="I12" s="45" t="n">
        <f aca="false">SUM(E12:H12)</f>
        <v>0</v>
      </c>
      <c r="J12" s="45"/>
      <c r="K12" s="45"/>
      <c r="L12" s="45"/>
      <c r="M12" s="45"/>
      <c r="N12" s="45"/>
      <c r="O12" s="45" t="n">
        <v>8</v>
      </c>
      <c r="P12" s="45" t="n">
        <v>8</v>
      </c>
      <c r="Q12" s="45" t="n">
        <v>8</v>
      </c>
      <c r="R12" s="45" t="n">
        <v>8</v>
      </c>
      <c r="S12" s="45"/>
      <c r="T12" s="45"/>
      <c r="U12" s="45"/>
      <c r="V12" s="45" t="n">
        <v>8</v>
      </c>
      <c r="W12" s="45"/>
      <c r="X12" s="45" t="n">
        <v>8</v>
      </c>
      <c r="Y12" s="45" t="n">
        <v>8</v>
      </c>
      <c r="Z12" s="45" t="n">
        <v>8</v>
      </c>
      <c r="AA12" s="45" t="n">
        <v>8</v>
      </c>
      <c r="AB12" s="45"/>
      <c r="AC12" s="45" t="n">
        <v>8</v>
      </c>
      <c r="AD12" s="45" t="n">
        <v>8</v>
      </c>
      <c r="AE12" s="45" t="n">
        <v>8</v>
      </c>
      <c r="AF12" s="45" t="n">
        <v>8</v>
      </c>
      <c r="AG12" s="45" t="n">
        <v>8</v>
      </c>
      <c r="AH12" s="45"/>
      <c r="AI12" s="45"/>
      <c r="AJ12" s="45" t="n">
        <v>8</v>
      </c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 t="n">
        <f aca="false">SUM(AS12:AT12)</f>
        <v>0</v>
      </c>
      <c r="AV12" s="45" t="n">
        <f aca="false">SUM(N12:AU12)</f>
        <v>120</v>
      </c>
      <c r="AW12" s="64"/>
      <c r="AX12" s="64"/>
      <c r="AY12" s="64"/>
      <c r="AZ12" s="64"/>
      <c r="BA12" s="64"/>
      <c r="BB12" s="64"/>
      <c r="BC12" s="64"/>
      <c r="BD12" s="64"/>
    </row>
    <row r="13" s="37" customFormat="true" ht="21.75" hidden="false" customHeight="true" outlineLevel="0" collapsed="false">
      <c r="A13" s="49"/>
      <c r="B13" s="62" t="s">
        <v>27</v>
      </c>
      <c r="C13" s="67" t="s">
        <v>24</v>
      </c>
      <c r="D13" s="67"/>
      <c r="E13" s="45"/>
      <c r="F13" s="45"/>
      <c r="G13" s="45"/>
      <c r="H13" s="45"/>
      <c r="I13" s="45" t="n">
        <f aca="false">SUM(E13:H13)</f>
        <v>0</v>
      </c>
      <c r="J13" s="45"/>
      <c r="K13" s="45"/>
      <c r="L13" s="45"/>
      <c r="M13" s="45"/>
      <c r="N13" s="45"/>
      <c r="O13" s="45" t="n">
        <v>8</v>
      </c>
      <c r="P13" s="45"/>
      <c r="Q13" s="45"/>
      <c r="R13" s="45"/>
      <c r="S13" s="45" t="n">
        <v>8</v>
      </c>
      <c r="T13" s="45"/>
      <c r="U13" s="45"/>
      <c r="V13" s="45"/>
      <c r="W13" s="45"/>
      <c r="X13" s="45"/>
      <c r="Y13" s="45"/>
      <c r="Z13" s="45"/>
      <c r="AA13" s="45" t="n">
        <v>8</v>
      </c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 t="n">
        <f aca="false">SUM(AS13:AT13)</f>
        <v>0</v>
      </c>
      <c r="AV13" s="45" t="n">
        <f aca="false">SUM(N13:AU13)</f>
        <v>24</v>
      </c>
      <c r="AW13" s="64"/>
      <c r="AX13" s="64"/>
      <c r="AY13" s="64"/>
      <c r="AZ13" s="64"/>
      <c r="BA13" s="64"/>
      <c r="BB13" s="64"/>
      <c r="BC13" s="64"/>
      <c r="BD13" s="64"/>
    </row>
    <row r="14" s="37" customFormat="true" ht="21.75" hidden="false" customHeight="true" outlineLevel="0" collapsed="false">
      <c r="A14" s="49"/>
      <c r="B14" s="62" t="s">
        <v>28</v>
      </c>
      <c r="C14" s="67" t="s">
        <v>24</v>
      </c>
      <c r="D14" s="67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 t="n">
        <v>8</v>
      </c>
      <c r="Q14" s="45" t="n">
        <v>8</v>
      </c>
      <c r="R14" s="45" t="n">
        <v>8</v>
      </c>
      <c r="S14" s="45"/>
      <c r="T14" s="45"/>
      <c r="U14" s="45"/>
      <c r="V14" s="45"/>
      <c r="W14" s="45"/>
      <c r="X14" s="45"/>
      <c r="Y14" s="45" t="n">
        <v>8</v>
      </c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 t="n">
        <f aca="false">SUM(AS14:AT14)</f>
        <v>0</v>
      </c>
      <c r="AV14" s="45" t="n">
        <f aca="false">SUM(N14:AU14)</f>
        <v>32</v>
      </c>
      <c r="AW14" s="64"/>
      <c r="AX14" s="64"/>
      <c r="AY14" s="64"/>
      <c r="AZ14" s="64"/>
      <c r="BA14" s="64"/>
      <c r="BB14" s="64"/>
      <c r="BC14" s="64"/>
      <c r="BD14" s="64"/>
    </row>
    <row r="15" s="37" customFormat="true" ht="21.75" hidden="false" customHeight="true" outlineLevel="0" collapsed="false">
      <c r="A15" s="49"/>
      <c r="B15" s="62" t="s">
        <v>29</v>
      </c>
      <c r="C15" s="67" t="s">
        <v>24</v>
      </c>
      <c r="D15" s="67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 t="n">
        <v>8</v>
      </c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 t="n">
        <f aca="false">SUM(AS15:AT15)</f>
        <v>0</v>
      </c>
      <c r="AV15" s="45" t="n">
        <f aca="false">SUM(N15:AU15)</f>
        <v>8</v>
      </c>
      <c r="AW15" s="64"/>
      <c r="AX15" s="64"/>
      <c r="AY15" s="64"/>
      <c r="AZ15" s="64"/>
      <c r="BA15" s="64"/>
      <c r="BB15" s="64"/>
      <c r="BC15" s="64"/>
      <c r="BD15" s="64"/>
    </row>
    <row r="16" customFormat="false" ht="20.25" hidden="false" customHeight="true" outlineLevel="0" collapsed="false">
      <c r="A16" s="49"/>
      <c r="B16" s="64"/>
      <c r="C16" s="64"/>
      <c r="D16" s="64"/>
      <c r="E16" s="26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26"/>
      <c r="AT16" s="26"/>
      <c r="AU16" s="26"/>
      <c r="AV16" s="26"/>
      <c r="AW16" s="64"/>
      <c r="AX16" s="64"/>
      <c r="AY16" s="64"/>
      <c r="AZ16" s="64"/>
      <c r="BA16" s="64"/>
      <c r="BB16" s="64"/>
      <c r="BC16" s="26"/>
      <c r="BD16" s="26"/>
    </row>
    <row r="17" customFormat="false" ht="20.25" hidden="false" customHeight="true" outlineLevel="0" collapsed="false">
      <c r="A17" s="49"/>
      <c r="B17" s="26"/>
      <c r="C17" s="26"/>
      <c r="D17" s="64"/>
      <c r="E17" s="26"/>
      <c r="F17" s="26"/>
      <c r="G17" s="26"/>
      <c r="H17" s="26"/>
      <c r="I17" s="26"/>
      <c r="J17" s="26"/>
      <c r="K17" s="26"/>
      <c r="L17" s="64"/>
      <c r="M17" s="64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64"/>
      <c r="AX17" s="64"/>
      <c r="AY17" s="64"/>
      <c r="AZ17" s="64"/>
      <c r="BA17" s="64"/>
      <c r="BB17" s="64"/>
      <c r="BC17" s="26"/>
      <c r="BD17" s="26"/>
    </row>
    <row r="18" customFormat="false" ht="16.5" hidden="false" customHeight="false" outlineLevel="0" collapsed="false">
      <c r="A18" s="49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26"/>
      <c r="AT18" s="26"/>
      <c r="AU18" s="26"/>
      <c r="AV18" s="26"/>
      <c r="AW18" s="64"/>
      <c r="AX18" s="26"/>
      <c r="AY18" s="26"/>
      <c r="AZ18" s="64"/>
      <c r="BA18" s="64"/>
      <c r="BB18" s="64"/>
      <c r="BC18" s="26"/>
      <c r="BD18" s="26"/>
    </row>
    <row r="19" customFormat="false" ht="16.5" hidden="false" customHeight="false" outlineLevel="0" collapsed="false">
      <c r="A19" s="49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26"/>
      <c r="AT19" s="26"/>
      <c r="AU19" s="26"/>
      <c r="AV19" s="26"/>
      <c r="AW19" s="64"/>
      <c r="AX19" s="26"/>
      <c r="AY19" s="26"/>
      <c r="AZ19" s="64"/>
      <c r="BA19" s="64"/>
      <c r="BB19" s="64"/>
      <c r="BC19" s="26"/>
      <c r="BD19" s="26"/>
    </row>
    <row r="20" customFormat="false" ht="16.5" hidden="false" customHeight="false" outlineLevel="0" collapsed="false">
      <c r="A20" s="49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44"/>
      <c r="AY20" s="44"/>
      <c r="AZ20" s="44"/>
      <c r="BA20" s="64"/>
      <c r="BB20" s="64"/>
      <c r="BC20" s="64"/>
      <c r="BD20" s="64"/>
    </row>
  </sheetData>
  <mergeCells count="15">
    <mergeCell ref="B2:M2"/>
    <mergeCell ref="B4:D5"/>
    <mergeCell ref="I4:I5"/>
    <mergeCell ref="AU4:AU5"/>
    <mergeCell ref="AV4:AV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B7" activeCellId="0" sqref="B7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68" width="10"/>
    <col collapsed="false" customWidth="true" hidden="false" outlineLevel="0" max="2" min="2" style="68" width="18"/>
    <col collapsed="false" customWidth="true" hidden="false" outlineLevel="0" max="4" min="3" style="69" width="18"/>
    <col collapsed="false" customWidth="true" hidden="false" outlineLevel="0" max="6" min="6" style="69" width="12.25"/>
  </cols>
  <sheetData>
    <row r="1" customFormat="false" ht="16.5" hidden="false" customHeight="false" outlineLevel="0" collapsed="false">
      <c r="A1" s="70" t="s">
        <v>21</v>
      </c>
      <c r="B1" s="70" t="s">
        <v>72</v>
      </c>
      <c r="C1" s="70"/>
      <c r="D1" s="70"/>
      <c r="E1" s="70"/>
      <c r="F1" s="70"/>
    </row>
    <row r="2" customFormat="false" ht="16.5" hidden="false" customHeight="false" outlineLevel="0" collapsed="false">
      <c r="A2" s="71" t="s">
        <v>14</v>
      </c>
      <c r="B2" s="27" t="n">
        <v>2250000</v>
      </c>
      <c r="C2" s="64"/>
      <c r="D2" s="64"/>
      <c r="E2" s="64"/>
      <c r="F2" s="64"/>
    </row>
    <row r="3" customFormat="false" ht="16.5" hidden="false" customHeight="false" outlineLevel="0" collapsed="false">
      <c r="A3" s="71" t="s">
        <v>73</v>
      </c>
      <c r="B3" s="27" t="n">
        <v>1638502</v>
      </c>
      <c r="C3" s="64"/>
      <c r="D3" s="64"/>
      <c r="E3" s="64"/>
      <c r="F3" s="64"/>
    </row>
    <row r="4" customFormat="false" ht="16.5" hidden="false" customHeight="false" outlineLevel="0" collapsed="false">
      <c r="A4" s="71" t="s">
        <v>15</v>
      </c>
      <c r="B4" s="27" t="n">
        <v>611498</v>
      </c>
      <c r="C4" s="64"/>
      <c r="D4" s="64"/>
      <c r="E4" s="64"/>
      <c r="F4" s="64"/>
    </row>
    <row r="5" customFormat="false" ht="16.5" hidden="false" customHeight="false" outlineLevel="0" collapsed="false">
      <c r="A5" s="71" t="s">
        <v>74</v>
      </c>
      <c r="B5" s="64" t="s">
        <v>75</v>
      </c>
      <c r="C5" s="64"/>
      <c r="D5" s="64"/>
      <c r="E5" s="64"/>
      <c r="F5" s="64"/>
    </row>
    <row r="6" customFormat="false" ht="16.5" hidden="false" customHeight="false" outlineLevel="0" collapsed="false">
      <c r="A6" s="71" t="s">
        <v>74</v>
      </c>
      <c r="B6" s="64" t="s">
        <v>76</v>
      </c>
      <c r="C6" s="64"/>
      <c r="D6" s="64"/>
      <c r="E6" s="64"/>
      <c r="F6" s="64"/>
    </row>
    <row r="7" customFormat="false" ht="16.5" hidden="false" customHeight="false" outlineLevel="0" collapsed="false">
      <c r="A7" s="72" t="s">
        <v>73</v>
      </c>
      <c r="B7" s="73" t="n">
        <f aca="false">ROUNDUP(B3/31*11,0)</f>
        <v>581404</v>
      </c>
      <c r="C7" s="64"/>
      <c r="D7" s="27"/>
      <c r="E7" s="64"/>
      <c r="F7" s="64"/>
    </row>
    <row r="8" customFormat="false" ht="16.5" hidden="false" customHeight="false" outlineLevel="0" collapsed="false">
      <c r="A8" s="72" t="s">
        <v>15</v>
      </c>
      <c r="B8" s="73" t="n">
        <f aca="false">ROUNDUP(B4/31*11,0)</f>
        <v>216984</v>
      </c>
      <c r="C8" s="64" t="n">
        <f aca="false">B8+B9</f>
        <v>346170.602870813</v>
      </c>
      <c r="D8" s="64"/>
      <c r="E8" s="64"/>
      <c r="F8" s="64"/>
    </row>
    <row r="9" customFormat="false" ht="16.5" hidden="false" customHeight="false" outlineLevel="0" collapsed="false">
      <c r="A9" s="72" t="s">
        <v>16</v>
      </c>
      <c r="B9" s="73" t="n">
        <f aca="false">'정산 2603'!AO11</f>
        <v>129186.602870813</v>
      </c>
      <c r="C9" s="64"/>
      <c r="D9" s="64"/>
      <c r="E9" s="64"/>
      <c r="F9" s="64"/>
    </row>
    <row r="10" customFormat="false" ht="16.5" hidden="false" customHeight="false" outlineLevel="0" collapsed="false">
      <c r="A10" s="72" t="s">
        <v>77</v>
      </c>
      <c r="B10" s="73" t="n">
        <f aca="false">SUM(B7:B9)</f>
        <v>927574.602870813</v>
      </c>
      <c r="C10" s="64"/>
      <c r="D10" s="64"/>
      <c r="E10" s="64"/>
      <c r="F10" s="6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7"/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69" width="2"/>
    <col collapsed="false" customWidth="true" hidden="false" outlineLevel="0" max="2" min="2" style="69" width="60"/>
  </cols>
  <sheetData>
    <row r="1" customFormat="false" ht="16.5" hidden="false" customHeight="false" outlineLevel="0" collapsed="false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customFormat="false" ht="31.5" hidden="false" customHeight="true" outlineLevel="0" collapsed="false">
      <c r="A2" s="49"/>
      <c r="B2" s="74" t="s">
        <v>78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customFormat="false" ht="20.25" hidden="false" customHeight="true" outlineLevel="0" collapsed="false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customFormat="false" ht="31.5" hidden="false" customHeight="true" outlineLevel="0" collapsed="false">
      <c r="A4" s="75"/>
      <c r="B4" s="76" t="s">
        <v>79</v>
      </c>
      <c r="C4" s="77"/>
      <c r="D4" s="77"/>
      <c r="E4" s="77"/>
      <c r="F4" s="77"/>
      <c r="G4" s="75"/>
      <c r="H4" s="75"/>
      <c r="I4" s="75"/>
      <c r="J4" s="75"/>
      <c r="K4" s="75"/>
      <c r="L4" s="75"/>
      <c r="M4" s="75"/>
    </row>
    <row r="5" customFormat="false" ht="29.25" hidden="false" customHeight="true" outlineLevel="0" collapsed="false">
      <c r="A5" s="75"/>
      <c r="B5" s="78" t="s">
        <v>80</v>
      </c>
      <c r="C5" s="79"/>
      <c r="D5" s="79"/>
      <c r="E5" s="79"/>
      <c r="F5" s="79"/>
      <c r="G5" s="80"/>
      <c r="H5" s="80"/>
      <c r="I5" s="80"/>
      <c r="J5" s="80"/>
      <c r="K5" s="75"/>
      <c r="L5" s="75"/>
      <c r="M5" s="75"/>
    </row>
    <row r="6" customFormat="false" ht="29.25" hidden="false" customHeight="true" outlineLevel="0" collapsed="false">
      <c r="A6" s="75"/>
      <c r="B6" s="81" t="s">
        <v>81</v>
      </c>
      <c r="C6" s="82"/>
      <c r="D6" s="82"/>
      <c r="E6" s="82"/>
      <c r="F6" s="82"/>
      <c r="G6" s="83"/>
      <c r="H6" s="83"/>
      <c r="I6" s="83"/>
      <c r="J6" s="83"/>
      <c r="K6" s="75"/>
      <c r="L6" s="75"/>
      <c r="M6" s="75"/>
    </row>
    <row r="7" customFormat="false" ht="29.25" hidden="false" customHeight="true" outlineLevel="0" collapsed="false">
      <c r="A7" s="75"/>
      <c r="B7" s="84" t="s">
        <v>82</v>
      </c>
      <c r="C7" s="85"/>
      <c r="D7" s="85"/>
      <c r="E7" s="85"/>
      <c r="F7" s="85"/>
      <c r="G7" s="86"/>
      <c r="H7" s="86"/>
      <c r="I7" s="86"/>
      <c r="J7" s="86"/>
      <c r="K7" s="75"/>
      <c r="L7" s="75"/>
      <c r="M7" s="75"/>
    </row>
    <row r="8" customFormat="false" ht="29.25" hidden="false" customHeight="true" outlineLevel="0" collapsed="false">
      <c r="A8" s="75"/>
      <c r="B8" s="87"/>
      <c r="C8" s="58"/>
      <c r="D8" s="58"/>
      <c r="E8" s="58"/>
      <c r="F8" s="58"/>
      <c r="G8" s="75"/>
      <c r="H8" s="75"/>
      <c r="I8" s="75"/>
      <c r="J8" s="75"/>
      <c r="K8" s="75"/>
      <c r="L8" s="75"/>
      <c r="M8" s="75"/>
    </row>
    <row r="9" customFormat="false" ht="29.25" hidden="false" customHeight="true" outlineLevel="0" collapsed="false">
      <c r="A9" s="75"/>
      <c r="B9" s="88" t="s">
        <v>83</v>
      </c>
      <c r="C9" s="58"/>
      <c r="D9" s="58"/>
      <c r="E9" s="58"/>
      <c r="F9" s="58"/>
      <c r="G9" s="75"/>
      <c r="H9" s="75"/>
      <c r="I9" s="75"/>
      <c r="J9" s="75"/>
      <c r="K9" s="75"/>
      <c r="L9" s="75"/>
      <c r="M9" s="75"/>
    </row>
    <row r="10" customFormat="false" ht="29.25" hidden="false" customHeight="true" outlineLevel="0" collapsed="false">
      <c r="A10" s="75"/>
      <c r="B10" s="89" t="s">
        <v>80</v>
      </c>
      <c r="C10" s="90"/>
      <c r="D10" s="90"/>
      <c r="E10" s="90"/>
      <c r="F10" s="90"/>
      <c r="G10" s="91"/>
      <c r="H10" s="91"/>
      <c r="I10" s="91"/>
      <c r="J10" s="91"/>
      <c r="K10" s="75"/>
      <c r="L10" s="75"/>
      <c r="M10" s="75"/>
    </row>
    <row r="11" customFormat="false" ht="29.25" hidden="false" customHeight="true" outlineLevel="0" collapsed="false">
      <c r="A11" s="75"/>
      <c r="B11" s="92" t="s">
        <v>81</v>
      </c>
      <c r="C11" s="93"/>
      <c r="D11" s="93"/>
      <c r="E11" s="93"/>
      <c r="F11" s="93"/>
      <c r="G11" s="94"/>
      <c r="H11" s="94"/>
      <c r="I11" s="94"/>
      <c r="J11" s="94"/>
      <c r="K11" s="75"/>
      <c r="L11" s="75"/>
      <c r="M11" s="75"/>
    </row>
    <row r="12" customFormat="false" ht="29.25" hidden="false" customHeight="true" outlineLevel="0" collapsed="false">
      <c r="A12" s="75"/>
      <c r="B12" s="95" t="s">
        <v>84</v>
      </c>
      <c r="C12" s="96"/>
      <c r="D12" s="96"/>
      <c r="E12" s="96"/>
      <c r="F12" s="96"/>
      <c r="G12" s="97"/>
      <c r="H12" s="97"/>
      <c r="I12" s="97"/>
      <c r="J12" s="97"/>
      <c r="K12" s="75"/>
      <c r="L12" s="75"/>
      <c r="M12" s="75"/>
    </row>
    <row r="13" customFormat="false" ht="20.25" hidden="false" customHeight="true" outlineLevel="0" collapsed="false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</row>
    <row r="14" customFormat="false" ht="20.25" hidden="false" customHeight="true" outlineLevel="0" collapsed="false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customFormat="false" ht="16.5" hidden="false" customHeight="false" outlineLevel="0" collapsed="false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customFormat="false" ht="16.5" hidden="false" customHeight="false" outlineLevel="0" collapsed="false">
      <c r="A16" s="49"/>
      <c r="B16" s="49"/>
      <c r="C16" s="49"/>
      <c r="D16" s="75" t="n">
        <f aca="false">M17</f>
        <v>0</v>
      </c>
      <c r="E16" s="49"/>
      <c r="F16" s="49"/>
      <c r="G16" s="49"/>
      <c r="H16" s="49"/>
      <c r="I16" s="49"/>
      <c r="J16" s="49"/>
      <c r="K16" s="49"/>
      <c r="L16" s="49"/>
      <c r="M16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2023-01-02T07:45:28Z</dcterms:created>
  <dc:creator>조진학</dc:creator>
  <dc:description/>
  <dc:language>en-US</dc:language>
  <cp:lastModifiedBy>J L</cp:lastModifiedBy>
  <cp:lastPrinted>2025-12-02T07:54:33Z</cp:lastPrinted>
  <dcterms:modified xsi:type="dcterms:W3CDTF">2026-04-10T06:48:41Z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