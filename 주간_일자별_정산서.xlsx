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주간 일자별 정산서" sheetId="1" state="visible" r:id="rId3"/>
  </sheets>
  <definedNames>
    <definedName function="false" hidden="false" localSheetId="0" name="_xlnm.Print_Area" vbProcedure="false">'주간 일자별 정산서'!$A$1:$M$30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<sst xmlns="http://schemas.openxmlformats.org/spreadsheetml/2006/main" count="37" uniqueCount="36">
  <si>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주간 일자별 근무 정산서</t>
  </si>
  <si>
    <t xml:space="preserve">성  명</t>
  </si>
  <si>
    <t xml:space="preserve">정산기간</t>
  </si>
  <si>
    <t xml:space="preserve">작성일</t>
  </si>
  <si>
    <r>
      <rPr>
        <b val="true"/>
        <sz val="10"/>
        <rFont val="DejaVu Sans"/>
        <family val="2"/>
      </rPr>
      <t xml:space="preserve">부서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현장</t>
    </r>
  </si>
  <si>
    <t xml:space="preserve">시  급</t>
  </si>
  <si>
    <t xml:space="preserve">담당자</t>
  </si>
  <si>
    <t xml:space="preserve">번호</t>
  </si>
  <si>
    <t xml:space="preserve">날짜</t>
  </si>
  <si>
    <t xml:space="preserve">출근
시각</t>
  </si>
  <si>
    <t xml:space="preserve">퇴근
시각</t>
  </si>
  <si>
    <r>
      <rPr>
        <b val="true"/>
        <sz val="11"/>
        <color rgb="FFFFFFFF"/>
        <rFont val="DejaVu Sans"/>
        <family val="2"/>
      </rPr>
      <t xml:space="preserve">휴게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</si>
  <si>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실근무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</si>
  <si>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연장근로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</si>
  <si>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야간근로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</si>
  <si>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기본급</t>
  </si>
  <si>
    <t xml:space="preserve">연장
수당</t>
  </si>
  <si>
    <t xml:space="preserve">야간
수당</t>
  </si>
  <si>
    <t xml:space="preserve">주휴
수당</t>
  </si>
  <si>
    <t xml:space="preserve">일당
합계</t>
  </si>
  <si>
    <t xml:space="preserve">주간 합계</t>
  </si>
  <si>
    <t xml:space="preserve">공제 내역</t>
  </si>
  <si>
    <t xml:space="preserve">실지급액 산출</t>
  </si>
  <si>
    <r>
      <rPr>
        <sz val="10"/>
        <rFont val="DejaVu Sans"/>
        <family val="2"/>
      </rPr>
      <t xml:space="preserve">소득세 </t>
    </r>
    <r>
      <rPr>
        <sz val="10"/>
        <rFont val="Arial"/>
        <family val="0"/>
        <charset val="1"/>
      </rPr>
      <t xml:space="preserve">(3.3%)</t>
    </r>
  </si>
  <si>
    <t xml:space="preserve">총 지급액</t>
  </si>
  <si>
    <t xml:space="preserve">국민연금</t>
  </si>
  <si>
    <t xml:space="preserve">공제 합계</t>
  </si>
  <si>
    <t xml:space="preserve">건강보험</t>
  </si>
  <si>
    <t xml:space="preserve">실지급액</t>
  </si>
  <si>
    <t xml:space="preserve">고용보험</t>
  </si>
  <si>
    <t xml:space="preserve">기타 공제</t>
  </si>
  <si>
    <r>
      <rPr>
        <i val="true"/>
        <sz val="10"/>
        <rFont val="DejaVu Sans"/>
        <family val="2"/>
      </rPr>
      <t xml:space="preserve">위 내용을 확인하였으며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DejaVu Sans"/>
        <family val="2"/>
      </rPr>
      <t xml:space="preserve">정산 내역에 이의가 없음을 확인합니다</t>
    </r>
    <r>
      <rPr>
        <i val="true"/>
        <sz val="1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</si>
  <si>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근로자 서명</t>
    </r>
    <r>
      <rPr>
        <b val="true"/>
        <sz val="10"/>
        <rFont val="Arial"/>
        <family val="0"/>
        <charset val="1"/>
      </rPr>
      <t xml:space="preserve">:</t>
    </r>
  </si>
  <si>
    <r>
      <rPr>
        <b val="true"/>
        <sz val="10"/>
        <rFont val="DejaVu Sans"/>
        <family val="2"/>
      </rPr>
      <t xml:space="preserve">확인자 서명</t>
    </r>
    <r>
      <rPr>
        <b val="true"/>
        <sz val="10"/>
        <rFont val="Arial"/>
        <family val="0"/>
        <charset val="1"/>
      </rPr>
      <t xml:space="preserve">:</t>
    </r>
  </si>
  <si>
    <r>
      <rPr>
        <i val="true"/>
        <sz val="9"/>
        <color rgb="FF666666"/>
        <rFont val="DejaVu Sans"/>
        <family val="2"/>
      </rPr>
      <t xml:space="preserve">※ 입력 안내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연두색 셀에 데이터를 입력하세요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DejaVu Sans"/>
        <family val="2"/>
      </rPr>
      <t xml:space="preserve">시급을 입력하면 각종 수당이 자동 계산됩니다</t>
    </r>
    <r>
      <rPr>
        <i val="true"/>
        <sz val="9"/>
        <color rgb="FF666666"/>
        <rFont val="Arial"/>
        <family val="0"/>
        <charset val="1"/>
      </rPr>
      <t xml:space="preserve">.</t>
    </r>
  </si>
  <si>
    <r>
      <rPr>
        <i val="true"/>
        <sz val="9"/>
        <color rgb="FF666666"/>
        <rFont val="DejaVu Sans"/>
        <family val="2"/>
      </rPr>
      <t xml:space="preserve">※ 주휴수당</t>
    </r>
    <r>
      <rPr>
        <i val="true"/>
        <sz val="9"/>
        <color rgb="FF666666"/>
        <rFont val="Arial"/>
        <family val="0"/>
        <charset val="1"/>
      </rPr>
      <t xml:space="preserve">: </t>
    </r>
    <r>
      <rPr>
        <i val="true"/>
        <sz val="9"/>
        <color rgb="FF666666"/>
        <rFont val="DejaVu Sans"/>
        <family val="2"/>
      </rPr>
      <t xml:space="preserve">주 </t>
    </r>
    <r>
      <rPr>
        <i val="true"/>
        <sz val="9"/>
        <color rgb="FF666666"/>
        <rFont val="Arial"/>
        <family val="0"/>
        <charset val="1"/>
      </rPr>
      <t xml:space="preserve">15</t>
    </r>
    <r>
      <rPr>
        <i val="true"/>
        <sz val="9"/>
        <color rgb="FF666666"/>
        <rFont val="DejaVu Sans"/>
        <family val="2"/>
      </rPr>
      <t xml:space="preserve">시간 이상 근무 시 자동 계산됩니다</t>
    </r>
    <r>
      <rPr>
        <i val="true"/>
        <sz val="9"/>
        <color rgb="FF666666"/>
        <rFont val="Arial"/>
        <family val="0"/>
        <charset val="1"/>
      </rPr>
      <t xml:space="preserve">. </t>
    </r>
    <r>
      <rPr>
        <i val="true"/>
        <sz val="9"/>
        <color rgb="FF666666"/>
        <rFont val="DejaVu Sans"/>
        <family val="2"/>
      </rPr>
      <t xml:space="preserve">연장수당</t>
    </r>
    <r>
      <rPr>
        <i val="true"/>
        <sz val="9"/>
        <color rgb="FF666666"/>
        <rFont val="Arial"/>
        <family val="0"/>
        <charset val="1"/>
      </rPr>
      <t xml:space="preserve">(1.5</t>
    </r>
    <r>
      <rPr>
        <i val="true"/>
        <sz val="9"/>
        <color rgb="FF666666"/>
        <rFont val="DejaVu Sans"/>
        <family val="2"/>
      </rPr>
      <t xml:space="preserve">배</t>
    </r>
    <r>
      <rPr>
        <i val="true"/>
        <sz val="9"/>
        <color rgb="FF666666"/>
        <rFont val="Arial"/>
        <family val="0"/>
        <charset val="1"/>
      </rPr>
      <t xml:space="preserve">), </t>
    </r>
    <r>
      <rPr>
        <i val="true"/>
        <sz val="9"/>
        <color rgb="FF666666"/>
        <rFont val="DejaVu Sans"/>
        <family val="2"/>
      </rPr>
      <t xml:space="preserve">야간수당</t>
    </r>
    <r>
      <rPr>
        <i val="true"/>
        <sz val="9"/>
        <color rgb="FF666666"/>
        <rFont val="Arial"/>
        <family val="0"/>
        <charset val="1"/>
      </rPr>
      <t xml:space="preserve">(0.5</t>
    </r>
    <r>
      <rPr>
        <i val="true"/>
        <sz val="9"/>
        <color rgb="FF666666"/>
        <rFont val="DejaVu Sans"/>
        <family val="2"/>
      </rPr>
      <t xml:space="preserve">배 가산</t>
    </r>
    <r>
      <rPr>
        <i val="true"/>
        <sz val="9"/>
        <color rgb="FF666666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</si>
</sst>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\원"/>
    <numFmt numFmtId="166" formatCode="mm/dd\(AAA\)"/>
    <numFmt numFmtId="167" formatCode="hh:mm"/>
    <numFmt numFmtId="168" formatCode="0.0"/>
    <numFmt numFmtId="169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DejaVu Sans"/>
      <family val="2"/>
    </font>
    <font>
      <b val="true"/>
      <sz val="10"/>
      <name val="DejaVu Sans"/>
      <family val="2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sz val="10"/>
      <name val="DejaVu Sans"/>
      <family val="2"/>
    </font>
    <font>
      <b val="true"/>
      <sz val="12"/>
      <name val="DejaVu Sans"/>
      <family val="2"/>
    </font>
    <font>
      <b val="true"/>
      <sz val="12"/>
      <color rgb="FFC00000"/>
      <name val="Arial"/>
      <family val="0"/>
      <charset val="1"/>
    </font>
    <font>
      <i val="true"/>
      <sz val="10"/>
      <name val="DejaVu Sans"/>
      <family val="2"/>
    </font>
    <font>
      <i val="true"/>
      <sz val="10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6E4F0"/>
        <bgColor rgb="FFEBF1DE"/>
      </patternFill>
    </fill>
    <fill>
      <patternFill patternType="solid">
        <fgColor rgb="FFEBF1DE"/>
        <bgColor rgb="FFFFF2CC"/>
      </patternFill>
    </fill>
    <fill>
      <patternFill patternType="solid">
        <fgColor rgb="FF2F5496"/>
        <bgColor rgb="FF0066CC"/>
      </patternFill>
    </fill>
    <fill>
      <patternFill patternType="solid">
        <fgColor rgb="FFFFF2CC"/>
        <bgColor rgb="FFEBF1DE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6" min="5" style="0" width="8"/>
    <col collapsed="false" customWidth="true" hidden="false" outlineLevel="0" max="10" min="7" style="0" width="10"/>
    <col collapsed="false" customWidth="true" hidden="false" outlineLevel="0" max="13" min="11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  <c r="B3" s="3"/>
      <c r="C3" s="3"/>
      <c r="D3" s="2" t="s">
        <v>2</v>
      </c>
      <c r="E3" s="3"/>
      <c r="F3" s="3"/>
      <c r="G3" s="3"/>
      <c r="H3" s="2" t="s">
        <v>3</v>
      </c>
      <c r="I3" s="3"/>
      <c r="J3" s="3"/>
    </row>
    <row r="4" customFormat="false" ht="35.05" hidden="false" customHeight="false" outlineLevel="0" collapsed="false">
      <c r="A4" s="2" t="s">
        <v>4</v>
      </c>
      <c r="B4" s="3"/>
      <c r="C4" s="3"/>
      <c r="D4" s="2" t="s">
        <v>5</v>
      </c>
      <c r="E4" s="4"/>
      <c r="F4" s="4"/>
      <c r="G4" s="4"/>
      <c r="H4" s="2" t="s">
        <v>6</v>
      </c>
      <c r="I4" s="3"/>
      <c r="J4" s="3"/>
    </row>
    <row r="6" customFormat="false" ht="28.3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</row>
    <row r="7" customFormat="false" ht="15" hidden="false" customHeight="false" outlineLevel="0" collapsed="false">
      <c r="A7" s="6" t="n">
        <v>1</v>
      </c>
      <c r="B7" s="7"/>
      <c r="C7" s="8"/>
      <c r="D7" s="8"/>
      <c r="E7" s="9"/>
      <c r="F7" s="10" t="n">
        <f aca="false">IF(AND(C7&lt;&gt;"",D7&lt;&gt;""),(D7-C7)*24-E7,0)</f>
        <v>0</v>
      </c>
      <c r="G7" s="10" t="n">
        <f aca="false">MAX(F7-8,0)</f>
        <v>0</v>
      </c>
      <c r="H7" s="9"/>
      <c r="I7" s="11" t="n">
        <f aca="false">MIN(F7,8)*$E$4</f>
        <v>0</v>
      </c>
      <c r="J7" s="11" t="n">
        <f aca="false">G7*$E$4*1.5</f>
        <v>0</v>
      </c>
      <c r="K7" s="11" t="n">
        <f aca="false">H7*$E$4*0.5</f>
        <v>0</v>
      </c>
      <c r="L7" s="11"/>
      <c r="M7" s="12" t="n">
        <f aca="false">SUM(I7:L7)</f>
        <v>0</v>
      </c>
    </row>
    <row r="8" customFormat="false" ht="15" hidden="false" customHeight="false" outlineLevel="0" collapsed="false">
      <c r="A8" s="6" t="n">
        <v>2</v>
      </c>
      <c r="B8" s="7"/>
      <c r="C8" s="8"/>
      <c r="D8" s="8"/>
      <c r="E8" s="9"/>
      <c r="F8" s="10" t="n">
        <f aca="false">IF(AND(C8&lt;&gt;"",D8&lt;&gt;""),(D8-C8)*24-E8,0)</f>
        <v>0</v>
      </c>
      <c r="G8" s="10" t="n">
        <f aca="false">MAX(F8-8,0)</f>
        <v>0</v>
      </c>
      <c r="H8" s="9"/>
      <c r="I8" s="11" t="n">
        <f aca="false">MIN(F8,8)*$E$4</f>
        <v>0</v>
      </c>
      <c r="J8" s="11" t="n">
        <f aca="false">G8*$E$4*1.5</f>
        <v>0</v>
      </c>
      <c r="K8" s="11" t="n">
        <f aca="false">H8*$E$4*0.5</f>
        <v>0</v>
      </c>
      <c r="L8" s="11"/>
      <c r="M8" s="12" t="n">
        <f aca="false">SUM(I8:L8)</f>
        <v>0</v>
      </c>
    </row>
    <row r="9" customFormat="false" ht="15" hidden="false" customHeight="false" outlineLevel="0" collapsed="false">
      <c r="A9" s="6" t="n">
        <v>3</v>
      </c>
      <c r="B9" s="7"/>
      <c r="C9" s="8"/>
      <c r="D9" s="8"/>
      <c r="E9" s="9"/>
      <c r="F9" s="10" t="n">
        <f aca="false">IF(AND(C9&lt;&gt;"",D9&lt;&gt;""),(D9-C9)*24-E9,0)</f>
        <v>0</v>
      </c>
      <c r="G9" s="10" t="n">
        <f aca="false">MAX(F9-8,0)</f>
        <v>0</v>
      </c>
      <c r="H9" s="9"/>
      <c r="I9" s="11" t="n">
        <f aca="false">MIN(F9,8)*$E$4</f>
        <v>0</v>
      </c>
      <c r="J9" s="11" t="n">
        <f aca="false">G9*$E$4*1.5</f>
        <v>0</v>
      </c>
      <c r="K9" s="11" t="n">
        <f aca="false">H9*$E$4*0.5</f>
        <v>0</v>
      </c>
      <c r="L9" s="11"/>
      <c r="M9" s="12" t="n">
        <f aca="false">SUM(I9:L9)</f>
        <v>0</v>
      </c>
    </row>
    <row r="10" customFormat="false" ht="15" hidden="false" customHeight="false" outlineLevel="0" collapsed="false">
      <c r="A10" s="6" t="n">
        <v>4</v>
      </c>
      <c r="B10" s="7"/>
      <c r="C10" s="8"/>
      <c r="D10" s="8"/>
      <c r="E10" s="9"/>
      <c r="F10" s="10" t="n">
        <f aca="false">IF(AND(C10&lt;&gt;"",D10&lt;&gt;""),(D10-C10)*24-E10,0)</f>
        <v>0</v>
      </c>
      <c r="G10" s="10" t="n">
        <f aca="false">MAX(F10-8,0)</f>
        <v>0</v>
      </c>
      <c r="H10" s="9"/>
      <c r="I10" s="11" t="n">
        <f aca="false">MIN(F10,8)*$E$4</f>
        <v>0</v>
      </c>
      <c r="J10" s="11" t="n">
        <f aca="false">G10*$E$4*1.5</f>
        <v>0</v>
      </c>
      <c r="K10" s="11" t="n">
        <f aca="false">H10*$E$4*0.5</f>
        <v>0</v>
      </c>
      <c r="L10" s="11"/>
      <c r="M10" s="12" t="n">
        <f aca="false">SUM(I10:L10)</f>
        <v>0</v>
      </c>
    </row>
    <row r="11" customFormat="false" ht="15" hidden="false" customHeight="false" outlineLevel="0" collapsed="false">
      <c r="A11" s="6" t="n">
        <v>5</v>
      </c>
      <c r="B11" s="7"/>
      <c r="C11" s="8"/>
      <c r="D11" s="8"/>
      <c r="E11" s="9"/>
      <c r="F11" s="10" t="n">
        <f aca="false">IF(AND(C11&lt;&gt;"",D11&lt;&gt;""),(D11-C11)*24-E11,0)</f>
        <v>0</v>
      </c>
      <c r="G11" s="10" t="n">
        <f aca="false">MAX(F11-8,0)</f>
        <v>0</v>
      </c>
      <c r="H11" s="9"/>
      <c r="I11" s="11" t="n">
        <f aca="false">MIN(F11,8)*$E$4</f>
        <v>0</v>
      </c>
      <c r="J11" s="11" t="n">
        <f aca="false">G11*$E$4*1.5</f>
        <v>0</v>
      </c>
      <c r="K11" s="11" t="n">
        <f aca="false">H11*$E$4*0.5</f>
        <v>0</v>
      </c>
      <c r="L11" s="11"/>
      <c r="M11" s="12" t="n">
        <f aca="false">SUM(I11:L11)</f>
        <v>0</v>
      </c>
    </row>
    <row r="12" customFormat="false" ht="15" hidden="false" customHeight="false" outlineLevel="0" collapsed="false">
      <c r="A12" s="6" t="n">
        <v>6</v>
      </c>
      <c r="B12" s="7"/>
      <c r="C12" s="8"/>
      <c r="D12" s="8"/>
      <c r="E12" s="9"/>
      <c r="F12" s="10" t="n">
        <f aca="false">IF(AND(C12&lt;&gt;"",D12&lt;&gt;""),(D12-C12)*24-E12,0)</f>
        <v>0</v>
      </c>
      <c r="G12" s="10" t="n">
        <f aca="false">MAX(F12-8,0)</f>
        <v>0</v>
      </c>
      <c r="H12" s="9"/>
      <c r="I12" s="11" t="n">
        <f aca="false">MIN(F12,8)*$E$4</f>
        <v>0</v>
      </c>
      <c r="J12" s="11" t="n">
        <f aca="false">G12*$E$4*1.5</f>
        <v>0</v>
      </c>
      <c r="K12" s="11" t="n">
        <f aca="false">H12*$E$4*0.5</f>
        <v>0</v>
      </c>
      <c r="L12" s="11"/>
      <c r="M12" s="12" t="n">
        <f aca="false">SUM(I12:L12)</f>
        <v>0</v>
      </c>
    </row>
    <row r="13" customFormat="false" ht="15" hidden="false" customHeight="false" outlineLevel="0" collapsed="false">
      <c r="A13" s="6" t="n">
        <v>7</v>
      </c>
      <c r="B13" s="7"/>
      <c r="C13" s="8"/>
      <c r="D13" s="8"/>
      <c r="E13" s="9"/>
      <c r="F13" s="10" t="n">
        <f aca="false">IF(AND(C13&lt;&gt;"",D13&lt;&gt;""),(D13-C13)*24-E13,0)</f>
        <v>0</v>
      </c>
      <c r="G13" s="10" t="n">
        <f aca="false">MAX(F13-8,0)</f>
        <v>0</v>
      </c>
      <c r="H13" s="9"/>
      <c r="I13" s="11" t="n">
        <f aca="false">MIN(F13,8)*$E$4</f>
        <v>0</v>
      </c>
      <c r="J13" s="11" t="n">
        <f aca="false">G13*$E$4*1.5</f>
        <v>0</v>
      </c>
      <c r="K13" s="11" t="n">
        <f aca="false">H13*$E$4*0.5</f>
        <v>0</v>
      </c>
      <c r="L13" s="11" t="n">
        <f aca="false">IF(SUM(F7:F13)&gt;=15,ROUND(SUM(F7:F13)/40*8,1)*$E$4,0)</f>
        <v>0</v>
      </c>
      <c r="M13" s="12" t="n">
        <f aca="false">SUM(I13:L13)</f>
        <v>0</v>
      </c>
    </row>
    <row r="14" customFormat="false" ht="15" hidden="false" customHeight="true" outlineLevel="0" collapsed="false">
      <c r="A14" s="13" t="s">
        <v>20</v>
      </c>
      <c r="B14" s="13"/>
      <c r="C14" s="14"/>
      <c r="D14" s="14"/>
      <c r="E14" s="15" t="n">
        <f aca="false">SUM(E7:E13)</f>
        <v>0</v>
      </c>
      <c r="F14" s="15" t="n">
        <f aca="false">SUM(F7:F13)</f>
        <v>0</v>
      </c>
      <c r="G14" s="15" t="n">
        <f aca="false">SUM(G7:G13)</f>
        <v>0</v>
      </c>
      <c r="H14" s="15" t="n">
        <f aca="false">SUM(H7:H13)</f>
        <v>0</v>
      </c>
      <c r="I14" s="16" t="n">
        <f aca="false">SUM(I7:I13)</f>
        <v>0</v>
      </c>
      <c r="J14" s="16" t="n">
        <f aca="false">SUM(J7:J13)</f>
        <v>0</v>
      </c>
      <c r="K14" s="16" t="n">
        <f aca="false">SUM(K7:K13)</f>
        <v>0</v>
      </c>
      <c r="L14" s="16" t="n">
        <f aca="false">SUM(L7:L13)</f>
        <v>0</v>
      </c>
      <c r="M14" s="16" t="n">
        <f aca="false">SUM(M7:M13)</f>
        <v>0</v>
      </c>
    </row>
    <row r="16" customFormat="false" ht="15" hidden="false" customHeight="true" outlineLevel="0" collapsed="false">
      <c r="A16" s="17" t="s">
        <v>21</v>
      </c>
      <c r="B16" s="17"/>
      <c r="C16" s="17"/>
      <c r="D16" s="17"/>
      <c r="E16" s="17"/>
      <c r="F16" s="17"/>
      <c r="H16" s="18" t="s">
        <v>22</v>
      </c>
      <c r="I16" s="18"/>
      <c r="J16" s="18"/>
      <c r="K16" s="18"/>
      <c r="L16" s="18"/>
      <c r="M16" s="18"/>
    </row>
    <row r="17" customFormat="false" ht="15" hidden="false" customHeight="false" outlineLevel="0" collapsed="false">
      <c r="A17" s="19" t="s">
        <v>23</v>
      </c>
      <c r="B17" s="19"/>
      <c r="C17" s="19"/>
      <c r="D17" s="11" t="n">
        <f aca="false">ROUND(M14*0.033,0)</f>
        <v>0</v>
      </c>
      <c r="E17" s="11"/>
      <c r="F17" s="11"/>
      <c r="H17" s="19" t="s">
        <v>24</v>
      </c>
      <c r="I17" s="19"/>
      <c r="J17" s="19"/>
      <c r="K17" s="20" t="n">
        <f aca="false">M14</f>
        <v>0</v>
      </c>
      <c r="L17" s="20"/>
      <c r="M17" s="20"/>
    </row>
    <row r="18" customFormat="false" ht="15" hidden="false" customHeight="false" outlineLevel="0" collapsed="false">
      <c r="A18" s="19" t="s">
        <v>25</v>
      </c>
      <c r="B18" s="19"/>
      <c r="C18" s="19"/>
      <c r="D18" s="21"/>
      <c r="E18" s="21"/>
      <c r="F18" s="21"/>
      <c r="H18" s="19" t="s">
        <v>26</v>
      </c>
      <c r="I18" s="19"/>
      <c r="J18" s="19"/>
      <c r="K18" s="20" t="n">
        <f aca="false">D22</f>
        <v>0</v>
      </c>
      <c r="L18" s="20"/>
      <c r="M18" s="20"/>
    </row>
    <row r="19" customFormat="false" ht="15" hidden="false" customHeight="false" outlineLevel="0" collapsed="false">
      <c r="A19" s="19" t="s">
        <v>27</v>
      </c>
      <c r="B19" s="19"/>
      <c r="C19" s="19"/>
      <c r="D19" s="21"/>
      <c r="E19" s="21"/>
      <c r="F19" s="21"/>
      <c r="H19" s="22" t="s">
        <v>28</v>
      </c>
      <c r="I19" s="22"/>
      <c r="J19" s="22"/>
      <c r="K19" s="23" t="n">
        <f aca="false">K17-K18</f>
        <v>0</v>
      </c>
      <c r="L19" s="23"/>
      <c r="M19" s="23"/>
    </row>
    <row r="20" customFormat="false" ht="15" hidden="false" customHeight="false" outlineLevel="0" collapsed="false">
      <c r="A20" s="19" t="s">
        <v>29</v>
      </c>
      <c r="B20" s="19"/>
      <c r="C20" s="19"/>
      <c r="D20" s="21"/>
      <c r="E20" s="21"/>
      <c r="F20" s="21"/>
    </row>
    <row r="21" customFormat="false" ht="15" hidden="false" customHeight="false" outlineLevel="0" collapsed="false">
      <c r="A21" s="19" t="s">
        <v>30</v>
      </c>
      <c r="B21" s="19"/>
      <c r="C21" s="19"/>
      <c r="D21" s="21"/>
      <c r="E21" s="21"/>
      <c r="F21" s="21"/>
    </row>
    <row r="22" customFormat="false" ht="15" hidden="false" customHeight="true" outlineLevel="0" collapsed="false">
      <c r="A22" s="13" t="s">
        <v>26</v>
      </c>
      <c r="B22" s="13"/>
      <c r="C22" s="13"/>
      <c r="D22" s="16" t="n">
        <f aca="false">SUM(D17:D21)</f>
        <v>0</v>
      </c>
      <c r="E22" s="16"/>
      <c r="F22" s="16"/>
    </row>
    <row r="24" customFormat="false" ht="15" hidden="false" customHeight="true" outlineLevel="0" collapsed="false">
      <c r="A24" s="24" t="s">
        <v>31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6" customFormat="false" ht="15" hidden="false" customHeight="false" outlineLevel="0" collapsed="false">
      <c r="H26" s="25" t="s">
        <v>32</v>
      </c>
      <c r="I26" s="25"/>
      <c r="J26" s="26"/>
      <c r="K26" s="26"/>
      <c r="L26" s="26"/>
      <c r="M26" s="26"/>
    </row>
    <row r="27" customFormat="false" ht="15" hidden="false" customHeight="false" outlineLevel="0" collapsed="false">
      <c r="H27" s="25" t="s">
        <v>33</v>
      </c>
      <c r="I27" s="25"/>
      <c r="J27" s="26"/>
      <c r="K27" s="26"/>
      <c r="L27" s="26"/>
      <c r="M27" s="26"/>
    </row>
    <row r="29" customFormat="false" ht="11.9" hidden="false" customHeight="false" outlineLevel="0" collapsed="false">
      <c r="A29" s="27" t="s">
        <v>34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customFormat="false" ht="11.9" hidden="false" customHeight="false" outlineLevel="0" collapsed="false">
      <c r="A30" s="27" t="s">
        <v>35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</row>
  </sheetData>
  <mergeCells count="35">
    <mergeCell ref="A1:M1"/>
    <mergeCell ref="B3:C3"/>
    <mergeCell ref="E3:G3"/>
    <mergeCell ref="I3:J3"/>
    <mergeCell ref="B4:C4"/>
    <mergeCell ref="E4:G4"/>
    <mergeCell ref="I4:J4"/>
    <mergeCell ref="A14:B14"/>
    <mergeCell ref="A16:F16"/>
    <mergeCell ref="H16:M16"/>
    <mergeCell ref="A17:C17"/>
    <mergeCell ref="D17:F17"/>
    <mergeCell ref="H17:J17"/>
    <mergeCell ref="K17:M17"/>
    <mergeCell ref="A18:C18"/>
    <mergeCell ref="D18:F18"/>
    <mergeCell ref="H18:J18"/>
    <mergeCell ref="K18:M18"/>
    <mergeCell ref="A19:C19"/>
    <mergeCell ref="D19:F19"/>
    <mergeCell ref="H19:J19"/>
    <mergeCell ref="K19:M19"/>
    <mergeCell ref="A20:C20"/>
    <mergeCell ref="D20:F20"/>
    <mergeCell ref="A21:C21"/>
    <mergeCell ref="D21:F21"/>
    <mergeCell ref="A22:C22"/>
    <mergeCell ref="D22:F22"/>
    <mergeCell ref="A24:M24"/>
    <mergeCell ref="H26:I26"/>
    <mergeCell ref="J26:M26"/>
    <mergeCell ref="H27:I27"/>
    <mergeCell ref="J27:M27"/>
    <mergeCell ref="A29:M29"/>
    <mergeCell ref="A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2026-04-10T06:40:44Z</dcterms:created>
  <dc:creator>openpyxl</dc:creator>
  <dc:description/>
  <dc:language>en-US</dc:language>
  <cp:lastModifiedBy/>
  <dcterms:modified xsi:type="dcterms:W3CDTF">2026-04-10T06:40:44Z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